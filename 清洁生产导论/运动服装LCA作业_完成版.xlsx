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980" windowHeight="8040" firstSheet="1" activeTab="5"/>
  </bookViews>
  <sheets>
    <sheet name="作业说明" sheetId="1" r:id="rId1"/>
    <sheet name="环境影响因子查询表" sheetId="2" r:id="rId2"/>
    <sheet name="T3_纱线" sheetId="3" r:id="rId3"/>
    <sheet name="T2_面料" sheetId="4" r:id="rId4"/>
    <sheet name="T1_成衣" sheetId="5" r:id="rId5"/>
    <sheet name="结果汇总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<sst xmlns="http://schemas.openxmlformats.org/spreadsheetml/2006/main" count="641" uniqueCount="395">
  <si>
    <r>
      <rPr>
        <b/>
        <sz val="14"/>
        <color rgb="FF000000"/>
        <rFont val="宋体"/>
        <charset val="134"/>
      </rPr>
      <t>运动服产品生命周期评价（</t>
    </r>
    <r>
      <rPr>
        <b/>
        <sz val="14"/>
        <color rgb="FF000000"/>
        <rFont val="Carlito"/>
        <charset val="134"/>
      </rPr>
      <t>LCA</t>
    </r>
    <r>
      <rPr>
        <b/>
        <sz val="14"/>
        <color rgb="FF000000"/>
        <rFont val="宋体"/>
        <charset val="134"/>
      </rPr>
      <t>）练习</t>
    </r>
  </si>
  <si>
    <t>项目</t>
  </si>
  <si>
    <t>内容</t>
  </si>
  <si>
    <t>功能单位</t>
  </si>
  <si>
    <t>1件运动上衣A。上游中间产品分别以1 kg纱线A、1 kg面料A为功能单位核算。</t>
  </si>
  <si>
    <t>系统边界</t>
  </si>
  <si>
    <t>T3纱线生产 → T2面料生产 → T1成衣生产 → 产品运输 → 使用维护 → 服装处理。</t>
  </si>
  <si>
    <t>数据说明</t>
  </si>
  <si>
    <t>本作业基于真实供应链LCA模型结构进行匿名化和教学化处理。企业名称、产品编号、供应商、地点及部分活动数据已调整。</t>
  </si>
  <si>
    <t>主要任务</t>
  </si>
  <si>
    <r>
      <rPr>
        <sz val="11"/>
        <rFont val="Carlito"/>
        <charset val="134"/>
      </rPr>
      <t>1</t>
    </r>
    <r>
      <rPr>
        <sz val="11"/>
        <rFont val="宋体"/>
        <charset val="134"/>
      </rPr>
      <t>）在</t>
    </r>
    <r>
      <rPr>
        <sz val="11"/>
        <rFont val="Carlito"/>
        <charset val="134"/>
      </rPr>
      <t>Ecoinvent</t>
    </r>
    <r>
      <rPr>
        <sz val="11"/>
        <rFont val="宋体"/>
        <charset val="134"/>
      </rPr>
      <t>中查询指定活动对应的数据集；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）填写</t>
    </r>
    <r>
      <rPr>
        <sz val="11"/>
        <rFont val="Carlito"/>
        <charset val="134"/>
      </rPr>
      <t>Dataset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Geography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Reference product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Unit</t>
    </r>
    <r>
      <rPr>
        <sz val="11"/>
        <rFont val="宋体"/>
        <charset val="134"/>
      </rPr>
      <t>和环境影响因子；</t>
    </r>
    <r>
      <rPr>
        <sz val="11"/>
        <rFont val="Carlito"/>
        <charset val="134"/>
      </rPr>
      <t>3</t>
    </r>
    <r>
      <rPr>
        <sz val="11"/>
        <rFont val="宋体"/>
        <charset val="134"/>
      </rPr>
      <t>）完成</t>
    </r>
    <r>
      <rPr>
        <sz val="11"/>
        <rFont val="Carlito"/>
        <charset val="134"/>
      </rPr>
      <t>T3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T2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T1</t>
    </r>
    <r>
      <rPr>
        <sz val="11"/>
        <rFont val="宋体"/>
        <charset val="134"/>
      </rPr>
      <t>及全生命周期</t>
    </r>
    <r>
      <rPr>
        <sz val="11"/>
        <rFont val="Carlito"/>
        <charset val="134"/>
      </rPr>
      <t>GWP</t>
    </r>
    <r>
      <rPr>
        <sz val="11"/>
        <rFont val="宋体"/>
        <charset val="134"/>
      </rPr>
      <t>计算；</t>
    </r>
    <r>
      <rPr>
        <sz val="11"/>
        <rFont val="Carlito"/>
        <charset val="134"/>
      </rPr>
      <t>4</t>
    </r>
    <r>
      <rPr>
        <sz val="11"/>
        <rFont val="宋体"/>
        <charset val="134"/>
      </rPr>
      <t>）比较各阶段贡献。</t>
    </r>
  </si>
  <si>
    <t>模型嵌套</t>
  </si>
  <si>
    <t>T3纱线A的核算结果直接作为T2纱线输入的碳足迹因子；T2面料A的核算结果直接作为T1面料输入的碳足迹因子，避免重复查询和重复计算。</t>
  </si>
  <si>
    <t>单位</t>
  </si>
  <si>
    <r>
      <rPr>
        <sz val="11"/>
        <rFont val="Carlito"/>
        <charset val="134"/>
      </rPr>
      <t>GWP</t>
    </r>
    <r>
      <rPr>
        <sz val="11"/>
        <rFont val="宋体"/>
        <charset val="134"/>
      </rPr>
      <t>统一为</t>
    </r>
    <r>
      <rPr>
        <sz val="11"/>
        <rFont val="Carlito"/>
        <charset val="134"/>
      </rPr>
      <t xml:space="preserve"> kg CO2e</t>
    </r>
    <r>
      <rPr>
        <sz val="11"/>
        <rFont val="宋体"/>
        <charset val="134"/>
      </rPr>
      <t>；运输活动数据为</t>
    </r>
    <r>
      <rPr>
        <sz val="11"/>
        <rFont val="Carlito"/>
        <charset val="134"/>
      </rPr>
      <t xml:space="preserve"> t·km</t>
    </r>
    <r>
      <rPr>
        <sz val="11"/>
        <rFont val="宋体"/>
        <charset val="134"/>
      </rPr>
      <t>。请特别注意</t>
    </r>
    <r>
      <rPr>
        <sz val="11"/>
        <rFont val="Carlito"/>
        <charset val="134"/>
      </rPr>
      <t>Ecoinvent</t>
    </r>
    <r>
      <rPr>
        <sz val="11"/>
        <rFont val="宋体"/>
        <charset val="134"/>
      </rPr>
      <t>数据集的参考单位。</t>
    </r>
  </si>
  <si>
    <t>提交建议</t>
  </si>
  <si>
    <r>
      <rPr>
        <b/>
        <sz val="11"/>
        <rFont val="宋体"/>
        <charset val="134"/>
      </rPr>
      <t>保留数据库查询依据，将每一个活动数据对应的影响因子完整信息列出来。独立思考对结果进行解释，简要说明主要排放来源及至少</t>
    </r>
    <r>
      <rPr>
        <b/>
        <sz val="11"/>
        <rFont val="Carlito"/>
        <charset val="134"/>
      </rPr>
      <t>1</t>
    </r>
    <r>
      <rPr>
        <b/>
        <sz val="11"/>
        <rFont val="宋体"/>
        <charset val="134"/>
      </rPr>
      <t>项数据选择或模型假设带来的不确定性。</t>
    </r>
  </si>
  <si>
    <t>本次模型补充</t>
  </si>
  <si>
    <t>采用模板运动上衣A，保留原始生产活动数量。补充因子、嵌套公式、销售与洗涤情景及消费后包装处理。生产用水量未给，不另加估算。净重0.255kg基于毛投入减边角料的假设；另计算0.310kg名义质量的口径敏感性。</t>
  </si>
  <si>
    <t>数据与方法</t>
  </si>
  <si>
    <t>ecoinvent 3.12，Cut-off；IPCC 2021 GWP100，climate change: total (excl. biogenic CO2)。原始因子、UUID、LCIA单元格及所有模型参数均列于环境影响因子查询表。</t>
  </si>
  <si>
    <t>边界与局限</t>
  </si>
  <si>
    <t>材料优先采用厂门生产过程，模板运输另计。未给出的生产用水量不另估算；T2污水仅覆盖给定药剂与综合电力，直接CH4/N2O及设施缺数据，可能低估。未单列消费者专程购物出行、洗衣机制造和厂房设备。背景数据库自带的用水及基础设施影响仍保留。</t>
  </si>
  <si>
    <t>活动类型</t>
  </si>
  <si>
    <t>建议检索关键词</t>
  </si>
  <si>
    <t>ecoinvent dataset</t>
  </si>
  <si>
    <t>Geography</t>
  </si>
  <si>
    <t>Reference product</t>
  </si>
  <si>
    <t>Unit</t>
  </si>
  <si>
    <t>环境影响因子</t>
  </si>
  <si>
    <t>选择依据</t>
  </si>
  <si>
    <t>数据库参考单位</t>
  </si>
  <si>
    <t>原始GWP100</t>
  </si>
  <si>
    <t>每模型单位对应参考量</t>
  </si>
  <si>
    <t>来源位置（LCIA工作表）</t>
  </si>
  <si>
    <t>Activity UUID_Product UUID</t>
  </si>
  <si>
    <t>查询入口</t>
  </si>
  <si>
    <t>参考产品量（原始符号）</t>
  </si>
  <si>
    <t>再生聚酯纤维</t>
  </si>
  <si>
    <t>recycled polyester fibre</t>
  </si>
  <si>
    <t>组合代理：再生PET粒料 + 中国电力 + 纤维加工损耗</t>
  </si>
  <si>
    <t>CN-ZJ / CN</t>
  </si>
  <si>
    <t>再生聚酯纤维（模型产物）</t>
  </si>
  <si>
    <t>kg</t>
  </si>
  <si>
    <t>未找到直接匹配的再生成品纤维条目。粒料投入=1/95%，补入1.5kWh/kg纤维加工电力；加工损耗按cut-off移交。该因子为模型结果，非数据库原值。</t>
  </si>
  <si>
    <t>组合计算；原始数据见第24、7、9行</t>
  </si>
  <si>
    <t>聚酯/改性聚酯纤维</t>
  </si>
  <si>
    <t>polyester fibre</t>
  </si>
  <si>
    <t>polyester fibre production, finished</t>
  </si>
  <si>
    <t>RoW</t>
  </si>
  <si>
    <t>fibre, polyester</t>
  </si>
  <si>
    <t>RoW普通聚酯纤维生产代理阳离子改性聚酯；改性工序未知。采用厂门生产过程，模板运输另计。</t>
  </si>
  <si>
    <t>Cut-off Cumulative LCIA v3.12.xlsx；LCIA!KT19564</t>
  </si>
  <si>
    <t>bf221663-baa6-57d5-a675-0446f29bcc46_2fca690e-d8ae-4b9b-8c48-8f658b6e7268</t>
  </si>
  <si>
    <t>https://ecoquery.ecoinvent.org/3.12/cutoff/files</t>
  </si>
  <si>
    <t>纸质包装材料</t>
  </si>
  <si>
    <t>corrugated board / paperboard</t>
  </si>
  <si>
    <t>corrugated board box production</t>
  </si>
  <si>
    <t>corrugated board box</t>
  </si>
  <si>
    <t>纸管、纸箱统一用瓦楞纸箱生产代理；采用生产过程，模板运输另计。</t>
  </si>
  <si>
    <t>Cut-off Cumulative LCIA v3.12.xlsx；LCIA!KT2462</t>
  </si>
  <si>
    <t>e45b56e4-029f-55ba-bc24-eb19aa4bded4_ca213807-7c00-4537-ac8c-23d39d0f2bd5</t>
  </si>
  <si>
    <t>PE包装膜</t>
  </si>
  <si>
    <t>polyethylene film / LDPE</t>
  </si>
  <si>
    <t>packaging film production, low density polyethylene</t>
  </si>
  <si>
    <t>packaging film, low density polyethylene</t>
  </si>
  <si>
    <t>LDPE薄膜生产，含制膜；模板运输另计。</t>
  </si>
  <si>
    <t>Cut-off Cumulative LCIA v3.12.xlsx；LCIA!KT18796</t>
  </si>
  <si>
    <t>26f9429b-1c81-5698-b8e3-6e99e7c6a4a4_3ce1a817-4ae8-4edc-bf8b-cb1b5d853410</t>
  </si>
  <si>
    <t>公路货运</t>
  </si>
  <si>
    <t>freight transport, lorry</t>
  </si>
  <si>
    <t>transport, freight, lorry, 16-32 metric ton, diesel, EURO 5</t>
  </si>
  <si>
    <t>t*km</t>
  </si>
  <si>
    <t>16–32吨EURO 5柴油货车，RoW代理；t·km与metric ton*km等价。</t>
  </si>
  <si>
    <t>metric ton*km</t>
  </si>
  <si>
    <t>Cut-off Cumulative LCIA v3.12.xlsx；LCIA!KT21666</t>
  </si>
  <si>
    <t>5a2a02ec-1a46-5057-b50c-62bf97de084d_f4e8b38b-d6c7-423b-bc9c-13b4a13d55f8</t>
  </si>
  <si>
    <t>电力</t>
  </si>
  <si>
    <t>electricity, medium voltage</t>
  </si>
  <si>
    <t>market group for electricity, medium voltage</t>
  </si>
  <si>
    <t>CN</t>
  </si>
  <si>
    <t>kWh</t>
  </si>
  <si>
    <t>生产用中国中压电力，含电网供应链。</t>
  </si>
  <si>
    <t>Cut-off Cumulative LCIA v3.12.xlsx；LCIA!KT17325</t>
  </si>
  <si>
    <t>64d70fe5-a32d-52a9-8901-3b52f9e4ab4e_759b89bd-3aa6-42ad-b767-5bb9ef5d331d</t>
  </si>
  <si>
    <t>柴油</t>
  </si>
  <si>
    <t>diesel</t>
  </si>
  <si>
    <t>diesel, burned in building machine</t>
  </si>
  <si>
    <t>GLO</t>
  </si>
  <si>
    <t>叉车以工程机械柴油燃烧代理，含燃料上游及燃烧；42.6 MJ/kg。</t>
  </si>
  <si>
    <t>MJ</t>
  </si>
  <si>
    <t>Cut-off Cumulative LCIA v3.12.xlsx；LCIA!KT2626</t>
  </si>
  <si>
    <t>4d495ac1-a2a2-58b9-ada2-23d5c1da15c1_b0f4c2fb-5081-474a-8ffa-1457da8345db</t>
  </si>
  <si>
    <t>纺织废料回收/处理</t>
  </si>
  <si>
    <t>waste textile treatment</t>
  </si>
  <si>
    <t>fibre and fabric waste, polyester, Recycled Content cut-off</t>
  </si>
  <si>
    <t>fibre and fabric waste, polyester</t>
  </si>
  <si>
    <t>可回收废纺织物在产生端按cut-off移交，后续再生加工归下一生命周期；不计避免原生料抵扣。混合可回收固废亦按此边界。</t>
  </si>
  <si>
    <t>Cut-off Cumulative LCIA v3.12.xlsx；LCIA!KT6112</t>
  </si>
  <si>
    <t>ac755a40-ef4e-56ac-a70e-e1fbcb37ed2b_c4e028dc-33a3-4fb1-b0d7-08d0d1242d71</t>
  </si>
  <si>
    <t>https://support.ecoinvent.org/system-models</t>
  </si>
  <si>
    <t>碳酸钠</t>
  </si>
  <si>
    <t>sodium carbonate</t>
  </si>
  <si>
    <t>soda ash production, dense, Hou's process</t>
  </si>
  <si>
    <t>soda ash, dense</t>
  </si>
  <si>
    <t>重质纯碱采用侯氏制碱生产过程；选取纯碱参考产品，未选副产氯化铵。模板运输另计。</t>
  </si>
  <si>
    <t>Cut-off Cumulative LCIA v3.12.xlsx；LCIA!KT20528</t>
  </si>
  <si>
    <t>f1ac1aa8-65df-5298-87e7-a8f1924e1699_278cf104-dd4f-4dc9-8160-cdc97d2da7a2</t>
  </si>
  <si>
    <t>硫酸钠</t>
  </si>
  <si>
    <t>sodium sulfate</t>
  </si>
  <si>
    <t>sodium sulfate production, from natural sources</t>
  </si>
  <si>
    <t>sodium sulfate, anhydrite</t>
  </si>
  <si>
    <t>RoW天然矿物法无水硫酸钠生产代理；工艺未经企业核实，不能视为中国实际工艺。模板运输另计。</t>
  </si>
  <si>
    <t>Cut-off Cumulative LCIA v3.12.xlsx；LCIA!KT20628</t>
  </si>
  <si>
    <t>f2ad1295-9ee9-5d6b-a264-d3e135b45d36_2cfef82e-cb0d-4864-8163-9651fc6c25eb</t>
  </si>
  <si>
    <t>染整助剂</t>
  </si>
  <si>
    <t>textile chemical / organic chemical</t>
  </si>
  <si>
    <t>chemical production, organic, unspecified</t>
  </si>
  <si>
    <t>chemical, organic, unspecified</t>
  </si>
  <si>
    <t>专用助剂成分不详，用未指定有机化学品生产代理；显著技术不确定性。模板运输另计。</t>
  </si>
  <si>
    <t>Cut-off Cumulative LCIA v3.12.xlsx；LCIA!KT1622</t>
  </si>
  <si>
    <t>73a1c1d2-45f0-595d-b7a7-ef3672f17888_30af3aa9-941d-5cc4-8985-e6323ca567d1</t>
  </si>
  <si>
    <t>分散染料</t>
  </si>
  <si>
    <t>dye / organic chemical</t>
  </si>
  <si>
    <t>chemical production, organic, aromatics</t>
  </si>
  <si>
    <t>chemical, organic, aromatics</t>
  </si>
  <si>
    <t>无分散染料配方，以芳香族有机化学品生产代理，不另加染整过程。模板运输另计。</t>
  </si>
  <si>
    <t>Cut-off Cumulative LCIA v3.12.xlsx；LCIA!KT1618</t>
  </si>
  <si>
    <t>26984de7-6e7a-5995-b208-5f7c6babb31b_8d8cff2b-d2cd-443a-af08-1e103254c5c2</t>
  </si>
  <si>
    <t>外购蒸汽</t>
  </si>
  <si>
    <t>steam</t>
  </si>
  <si>
    <t>steam production, in chemical industry</t>
  </si>
  <si>
    <t>steam, in chemical industry</t>
  </si>
  <si>
    <t>外购蒸汽采用生产过程，参考单位为kg；不再把同一蒸汽另算燃气。</t>
  </si>
  <si>
    <t>Cut-off Cumulative LCIA v3.12.xlsx；LCIA!KT20869</t>
  </si>
  <si>
    <t>2cead54a-df60-5734-9177-0794444b57e4_bd20be8e-9b7a-4391-980f-4ecf8f2867be</t>
  </si>
  <si>
    <t>天然气</t>
  </si>
  <si>
    <t>natural gas</t>
  </si>
  <si>
    <t>heat production, natural gas, at boiler condensing modulating &gt;100kW</t>
  </si>
  <si>
    <t>heat, district or industrial, natural gas</t>
  </si>
  <si>
    <t>m3</t>
  </si>
  <si>
    <t>燃气视为独立现场锅炉用气，含供应与燃烧；35.8 MJ/m3×90%供热效率。</t>
  </si>
  <si>
    <t>Cut-off Cumulative LCIA v3.12.xlsx；LCIA!KT7637</t>
  </si>
  <si>
    <t>eb3c4b4b-2ed5-5d0f-a01f-b282fdf8f054_1125e767-7b5d-442e-81d6-9b0d3e1919ac</t>
  </si>
  <si>
    <t>氢氧化钠</t>
  </si>
  <si>
    <t>sodium hydroxide</t>
  </si>
  <si>
    <t>chlor-alkali electrolysis, membrane cell</t>
  </si>
  <si>
    <t>sodium hydroxide, without water, in 50% solution state</t>
  </si>
  <si>
    <t>RoW膜法氯碱生产；基准把模板质量视为NaOH有效物质，若是50%商品溶液，B47改0.5。模板运输另计。</t>
  </si>
  <si>
    <t>Cut-off Cumulative LCIA v3.12.xlsx；LCIA!KT1652</t>
  </si>
  <si>
    <t>6fcd5f7d-ee46-5a34-9f18-e73d554020be_61396bcb-bf35-411a-a6a6-8543ccef83e8</t>
  </si>
  <si>
    <t>聚合氯化铝</t>
  </si>
  <si>
    <t>aluminium chloride / water treatment chemical</t>
  </si>
  <si>
    <t>polyaluminium chloride production</t>
  </si>
  <si>
    <t>polyaluminium chloride</t>
  </si>
  <si>
    <t>聚合氯化铝生产，未用普通氯化铝替代。模板运输另计。</t>
  </si>
  <si>
    <t>Cut-off Cumulative LCIA v3.12.xlsx；LCIA!KT19540</t>
  </si>
  <si>
    <t>01f243a8-747d-5726-a5a9-bd8047b5a14c_f2482f81-8982-531b-8e49-ffa38a6f01eb</t>
  </si>
  <si>
    <t>次氯酸钠</t>
  </si>
  <si>
    <t>sodium hypochlorite</t>
  </si>
  <si>
    <t>sodium hypochlorite, without water, in 15% solution state</t>
  </si>
  <si>
    <t>RoW膜法氯碱生产；基准把模板质量视为NaClO有效物质，若为15%商品溶液，B48改0.15。模板运输另计。</t>
  </si>
  <si>
    <t>Cut-off Cumulative LCIA v3.12.xlsx；LCIA!KT1653</t>
  </si>
  <si>
    <t>6fcd5f7d-ee46-5a34-9f18-e73d554020be_96501bb6-a68f-41f5-a067-92137e816e05</t>
  </si>
  <si>
    <t>废物焚烧</t>
  </si>
  <si>
    <t>municipal solid waste incineration / waste incineration</t>
  </si>
  <si>
    <t>treatment of municipal solid waste, municipal incineration</t>
  </si>
  <si>
    <t>municipal solid waste</t>
  </si>
  <si>
    <t>成分未明的小量焚烧废物用一般固废代理；PET及PE废物另用专属因子。</t>
  </si>
  <si>
    <t>Cut-off Cumulative LCIA v3.12.xlsx；LCIA!KT22923</t>
  </si>
  <si>
    <t>618bd0cb-cf51-5a34-9b58-0343c429fbca_27da8130-82ba-485c-a800-b89efdcb0491</t>
  </si>
  <si>
    <t>自来水</t>
  </si>
  <si>
    <t>tap water</t>
  </si>
  <si>
    <t>market for tap water</t>
  </si>
  <si>
    <t>RoW自来水市场代理中国用水；kg为参考单位。</t>
  </si>
  <si>
    <t>Cut-off Cumulative LCIA v3.12.xlsx；LCIA!KT15717</t>
  </si>
  <si>
    <t>ac46debc-ffb4-500f-975b-7b06695fceb5_c5adb1fb-872e-4446-a3bb-c4b61aa4bd45</t>
  </si>
  <si>
    <t>污水处理</t>
  </si>
  <si>
    <t>wastewater treatment</t>
  </si>
  <si>
    <t>treatment of wastewater, average, wastewater treatment</t>
  </si>
  <si>
    <t>wastewater, average</t>
  </si>
  <si>
    <t>平均污水处理RoW代理；模型kg按密度1000kg/m3换算。</t>
  </si>
  <si>
    <t>Cut-off Cumulative LCIA v3.12.xlsx；LCIA!KT25602</t>
  </si>
  <si>
    <t>571c5616-4195-55ca-84e4-db819cbdfdc1_e8a51ec1-60cb-4ead-a948-ad1142c61918</t>
  </si>
  <si>
    <t>清洁剂</t>
  </si>
  <si>
    <t>detergent</t>
  </si>
  <si>
    <t>market for soap</t>
  </si>
  <si>
    <t>soap</t>
  </si>
  <si>
    <t>清洁剂配方不详，以soap市场代理成品清洁剂，属于成分代理。</t>
  </si>
  <si>
    <t>Cut-off Cumulative LCIA v3.12.xlsx；LCIA!KT15333</t>
  </si>
  <si>
    <t>b113a26b-9465-59af-9aec-a8e7229c5fdb_3372cdea-bef5-4186-9ae6-b67a016aa67d</t>
  </si>
  <si>
    <t>碳酸氢钠</t>
  </si>
  <si>
    <t>sodium bicarbonate</t>
  </si>
  <si>
    <t>market for sodium bicarbonate</t>
  </si>
  <si>
    <t>填列供参考；活动清单未消耗碳酸氢钠，故不计入总量。</t>
  </si>
  <si>
    <t>Cut-off Cumulative LCIA v3.12.xlsx；LCIA!KT15342</t>
  </si>
  <si>
    <t>74e4c205-c419-56a0-85c0-630519e3469f_033be19b-ca83-4d9e-8dd6-476ef15203cd</t>
  </si>
  <si>
    <t>再生PET粒料</t>
  </si>
  <si>
    <t>polyethylene terephthalate, pellets, recycled fibre based</t>
  </si>
  <si>
    <t>treatment of waste polyester, industrial, from textile production, hydrothermal treatment</t>
  </si>
  <si>
    <t>CN-ZJ</t>
  </si>
  <si>
    <t>浙江工业废聚酯水热回收生产的再生PET粒料；采用粒料参考产品，非废物处置服务。补入纤维加工能耗及损耗，模板运输另计。</t>
  </si>
  <si>
    <t>Cut-off Cumulative LCIA v3.12.xlsx；LCIA!KT25198</t>
  </si>
  <si>
    <t>c25ec78b-9ec9-5c8d-baf8-50de51f90395_3915d667-f400-4d9b-8e57-9489a1a2fa3b</t>
  </si>
  <si>
    <t>低压电力</t>
  </si>
  <si>
    <t>electricity, low voltage</t>
  </si>
  <si>
    <t>market group for electricity, low voltage</t>
  </si>
  <si>
    <t>销售与家庭洗涤用中国低压电力。</t>
  </si>
  <si>
    <t>Cut-off Cumulative LCIA v3.12.xlsx；LCIA!KT17308</t>
  </si>
  <si>
    <t>74de192b-ed0c-5bed-90f1-fb0d1ab51ef0_d69294d7-8d64-4915-a896-9996a014c410</t>
  </si>
  <si>
    <t>PET废物焚烧</t>
  </si>
  <si>
    <t>waste polyethylene terephthalate</t>
  </si>
  <si>
    <t>treatment of waste polyethylene terephthalate, municipal incineration</t>
  </si>
  <si>
    <t>聚酯成衣按PET废物焚烧；选择废物kg的处置服务，未选零负担副产电/热。</t>
  </si>
  <si>
    <t>Cut-off Cumulative LCIA v3.12.xlsx；LCIA!KT25213</t>
  </si>
  <si>
    <t>3b4c9c92-d3f6-5a53-82f1-9c160946e760_dcb70fd5-e305-4920-b68b-40697cc6a206</t>
  </si>
  <si>
    <t>PE废物焚烧</t>
  </si>
  <si>
    <t>waste polyethylene</t>
  </si>
  <si>
    <t>treatment of waste polyethylene, municipal incineration</t>
  </si>
  <si>
    <t>PE生产废料及消费后包装按PE废物焚烧。</t>
  </si>
  <si>
    <t>Cut-off Cumulative LCIA v3.12.xlsx；LCIA!KT25251</t>
  </si>
  <si>
    <t>d7640922-25bf-595a-b031-6f8a3425fb6c_7ee0ddc3-924d-4339-b9bf-7856af6a698f</t>
  </si>
  <si>
    <t>纸板回收移交</t>
  </si>
  <si>
    <t>waste paperboard, unsorted</t>
  </si>
  <si>
    <t>waste paperboard, unsorted, Recycled Content cut-off</t>
  </si>
  <si>
    <t>纸包装回收在产生端cut-off移交，不计回收替代收益。</t>
  </si>
  <si>
    <t>Cut-off Cumulative LCIA v3.12.xlsx；LCIA!KT26077</t>
  </si>
  <si>
    <t>0b55e655-d17a-50b1-8f48-2dd4e09142d7_ad38bbd2-e41c-4509-9dc3-c5c708a36606</t>
  </si>
  <si>
    <t>其他纺织辅料</t>
  </si>
  <si>
    <t>textile, nonwoven polyester</t>
  </si>
  <si>
    <t>textile production, nonwoven polyester, needle-punched</t>
  </si>
  <si>
    <t>其他纺织辅料假设为RoW针刺聚酯无纺材料生产；实际组成未知。模板运输另计。</t>
  </si>
  <si>
    <t>Cut-off Cumulative LCIA v3.12.xlsx；LCIA!KT21368</t>
  </si>
  <si>
    <t>4986e004-6a31-5c72-bb07-7cca4000dbac_328db9f7-c0d6-4598-b071-d67dd31974f8</t>
  </si>
  <si>
    <t>数据库及评价口径</t>
  </si>
  <si>
    <t>ecoinvent 3.12；Allocation, cut-off by classification</t>
  </si>
  <si>
    <t>IPCC 2021 | climate change: total (excl. biogenic CO2) | global warming potential (GWP100)；kg CO2-Eq。查询：2026-10-21。</t>
  </si>
  <si>
    <t>原始LCIA列KT；废物参考量-1表示消纳服务，本表原始GWP是处理1kg或1m3的正负影响值，按正的待处理量相乘，不把-1再乘入。</t>
  </si>
  <si>
    <t>模型参数</t>
  </si>
  <si>
    <t>取值</t>
  </si>
  <si>
    <t>来源与情景解释（均为教学模型假设，非企业实测）</t>
  </si>
  <si>
    <t>全寿命洗涤次数</t>
  </si>
  <si>
    <t>次</t>
  </si>
  <si>
    <t>每次穿着后洗涤，基准100次；自然晾干，不熨烫，不烘干。</t>
  </si>
  <si>
    <t>每桶混洗衣物质量</t>
  </si>
  <si>
    <t>kg/桶</t>
  </si>
  <si>
    <t>按成衣净质量/每桶衣物质量分摊；基准单件占10%。</t>
  </si>
  <si>
    <t>每桶洗衣用水</t>
  </si>
  <si>
    <t>含漂洗；使用污水量等于自来水量，忽略衣物残留水。</t>
  </si>
  <si>
    <t>每桶洗衣用电</t>
  </si>
  <si>
    <t>kWh/桶</t>
  </si>
  <si>
    <t>一次洗衣程序总用电；未再单算热水，避免重复。</t>
  </si>
  <si>
    <t>每桶清洁剂用量</t>
  </si>
  <si>
    <t>成品清洁剂，以soap代理；洗衣机制造及清洁剂包装未单列。</t>
  </si>
  <si>
    <t>报废衣物回收比例</t>
  </si>
  <si>
    <t>比例</t>
  </si>
  <si>
    <t>其余85%焚烧；回收为cut-off移交，不计避免负担。</t>
  </si>
  <si>
    <t>再生纤维加工质量收率</t>
  </si>
  <si>
    <t>粒料至成品纤维加工假设；0.95kg成品/kg粒料。</t>
  </si>
  <si>
    <t>再生纤维加工电耗</t>
  </si>
  <si>
    <t>kWh/kg成品纤维</t>
  </si>
  <si>
    <t>包括干燥、熔融纺丝及后处理的简化电耗；不是T3的后续纺纱电耗。</t>
  </si>
  <si>
    <t>柴油低位热值</t>
  </si>
  <si>
    <t>MJ/kg</t>
  </si>
  <si>
    <t>用于把MJ燃烧服务换算为kg柴油；教学换算假设。</t>
  </si>
  <si>
    <t>天然气低位热值</t>
  </si>
  <si>
    <t>MJ/m3</t>
  </si>
  <si>
    <t>假设为标准状态天然气；气源、组成及计量状态会影响该值。</t>
  </si>
  <si>
    <t>燃气锅炉供热效率</t>
  </si>
  <si>
    <t>把燃料输入换算为有用热；锅炉数据集已包含上游及燃烧。</t>
  </si>
  <si>
    <t>销售分摊电耗</t>
  </si>
  <si>
    <t>kWh/件</t>
  </si>
  <si>
    <t>线上销售与仓储电耗分摊；不计消费者专程购物出行。</t>
  </si>
  <si>
    <t>NaOH有效物质质量比例</t>
  </si>
  <si>
    <t>kg有效物质/kg模板量</t>
  </si>
  <si>
    <t>基准按有效物质；如0.14kg指50%溶液，应改0.5。</t>
  </si>
  <si>
    <t>NaClO有效物质质量比例</t>
  </si>
  <si>
    <t>基准按有效物质；如0.014kg指15%溶液，应改0.15。</t>
  </si>
  <si>
    <t>水与污水密度</t>
  </si>
  <si>
    <t>kg/m3</t>
  </si>
  <si>
    <t>用于污水kg至m3换算。</t>
  </si>
  <si>
    <t>运输边界复核</t>
  </si>
  <si>
    <t>有独立模板公路运输量的材料优先用厂门生产过程，避免另叠市场的末端交付物流。背景上游物流仍保留。</t>
  </si>
  <si>
    <t>允许保留市场过程</t>
  </si>
  <si>
    <t>电力与自来水市场含必要输配服务；清洁剂用于家庭洗涤，无另列配送运输，故保留soap市场。</t>
  </si>
  <si>
    <t>市场过程说明：https://support.ecoinvent.org/market-activities</t>
  </si>
  <si>
    <t>序号</t>
  </si>
  <si>
    <t>环节</t>
  </si>
  <si>
    <t>活动数据</t>
  </si>
  <si>
    <t>数量</t>
  </si>
  <si>
    <t>说明</t>
  </si>
  <si>
    <t>因子（kg CO2e/活动单位）</t>
  </si>
  <si>
    <t>碳排放（kg CO2e）</t>
  </si>
  <si>
    <t>材料</t>
  </si>
  <si>
    <t>阳离子改性聚酯纤维</t>
  </si>
  <si>
    <t>纸管和纸箱的加总</t>
  </si>
  <si>
    <t>原材料运输</t>
  </si>
  <si>
    <t>原辅材料公路运输</t>
  </si>
  <si>
    <t>各原辅料运输的总和</t>
  </si>
  <si>
    <t>能耗</t>
  </si>
  <si>
    <t>纺纱生产用电</t>
  </si>
  <si>
    <t>含清花、前纺、后纺及公用设施</t>
  </si>
  <si>
    <t>固废处理</t>
  </si>
  <si>
    <t>厂内运输</t>
  </si>
  <si>
    <t>叉车柴油</t>
  </si>
  <si>
    <t>T3纱线A碳足迹（1 kg纱线A）</t>
  </si>
  <si>
    <t>目录</t>
  </si>
  <si>
    <t>纱线A（来自T3）</t>
  </si>
  <si>
    <t>GWP因子直接引用T3计算结果</t>
  </si>
  <si>
    <t>由多种专用助剂加总</t>
  </si>
  <si>
    <t>由多种染料加总</t>
  </si>
  <si>
    <t>纸管</t>
  </si>
  <si>
    <t>各供应商运输加总</t>
  </si>
  <si>
    <t>生产用电</t>
  </si>
  <si>
    <t>独立现场锅炉用气；假设不与外购蒸汽重叠。若实际上仅用于生成已列蒸汽，应删去重复项。</t>
  </si>
  <si>
    <t>可回收固废</t>
  </si>
  <si>
    <t>纺织、纸、塑料等可回收固废加总</t>
  </si>
  <si>
    <t>焚烧处置废物</t>
  </si>
  <si>
    <t>T2面料A碳足迹（1 kg面料A）</t>
  </si>
  <si>
    <t>面料A（来自T2）</t>
  </si>
  <si>
    <t>GWP因子直接引用T2计算结果</t>
  </si>
  <si>
    <t>第二种聚酯面料</t>
  </si>
  <si>
    <t>第二种聚酯面料按同类T2面料代理。</t>
  </si>
  <si>
    <t>聚酯缝纫线</t>
  </si>
  <si>
    <t>缝纫线按T3纱线代理，未另加专门捻线/润滑工序；保留模板27g/件，质量口径未核实。</t>
  </si>
  <si>
    <t>其他辅料按聚酯无纺材料代理，真实成分未知。</t>
  </si>
  <si>
    <t>纸质包装</t>
  </si>
  <si>
    <t>各供应商运输聚合</t>
  </si>
  <si>
    <t>成衣生产用电</t>
  </si>
  <si>
    <t>含厂内运输、裁剪、缝纫、整烫、包装、绣花及公用设施</t>
  </si>
  <si>
    <t>污水/再生水处理</t>
  </si>
  <si>
    <t>纺织边角料</t>
  </si>
  <si>
    <t>塑料废弃物</t>
  </si>
  <si>
    <t>简化为统一处置口径</t>
  </si>
  <si>
    <t>纸类废弃物</t>
  </si>
  <si>
    <t>简化为回收/处理口径</t>
  </si>
  <si>
    <t>固废外运</t>
  </si>
  <si>
    <t>产品运输</t>
  </si>
  <si>
    <t>成衣公路运输</t>
  </si>
  <si>
    <t>教学情景假设，不代表实际运输路线</t>
  </si>
  <si>
    <t>产品销售</t>
  </si>
  <si>
    <t>销售与仓储分摊电力</t>
  </si>
  <si>
    <t>线上销售情景；产品运输已在上一行单列，不另加消费者出行。</t>
  </si>
  <si>
    <t>使用维护</t>
  </si>
  <si>
    <t>洗涤用电</t>
  </si>
  <si>
    <t>100次混洗，单件/每桶衣物质量分摊；参数见因子表第35–39行；自然晾干。</t>
  </si>
  <si>
    <t>洗涤自来水</t>
  </si>
  <si>
    <t>洗涤清洁剂</t>
  </si>
  <si>
    <t>洗涤污水与用水等量；基准为570kg，对应0.570m3。</t>
  </si>
  <si>
    <t>服装处理</t>
  </si>
  <si>
    <t>降级回收</t>
  </si>
  <si>
    <t>净质量×15%，按cut-off移交，不给回收抵扣。</t>
  </si>
  <si>
    <t>焚烧</t>
  </si>
  <si>
    <t>净质量×85%，采用PET专属焚烧处置因子。</t>
  </si>
  <si>
    <t>1件运动上衣A全生命周期GWP</t>
  </si>
  <si>
    <t>消费后PE包装焚烧</t>
  </si>
  <si>
    <t>PE投入减生产废料，剩余随成衣交付消费者；全量焚烧。</t>
  </si>
  <si>
    <t>消费后纸包装回收</t>
  </si>
  <si>
    <t>纸包装投入减生产废料；按cut-off移交。</t>
  </si>
  <si>
    <t>成衣净质量（假设）</t>
  </si>
  <si>
    <t>假设模板材料量为含边角损耗的毛投入：0.310−0.055=0.255kg，不含包装。不是已核实的实测净重。</t>
  </si>
  <si>
    <t>原模板报废质量</t>
  </si>
  <si>
    <t>保留原始0.047+0.263kg作对照。若材料数据本身已扣损耗，应重新核实净质量。</t>
  </si>
  <si>
    <t>阶段</t>
  </si>
  <si>
    <t>T3 纱线A（1 kg，中间产品结果）</t>
  </si>
  <si>
    <t>中间结果；不可与总量直接相加</t>
  </si>
  <si>
    <t>T2 面料A（1 kg，中间产品结果）</t>
  </si>
  <si>
    <t>中间结果；已嵌入成衣</t>
  </si>
  <si>
    <t>1件运动上衣A 全生命周期</t>
  </si>
  <si>
    <t>生产环节（T3至T1合计）</t>
  </si>
  <si>
    <t>含原料、加工和厂际运输；kg CO2e/件</t>
  </si>
  <si>
    <t>结果解释、主要排放来源与不确定性</t>
  </si>
  <si>
    <t>阶段（互斥分解）</t>
  </si>
  <si>
    <t>kg CO2e/件</t>
  </si>
  <si>
    <t>占比</t>
  </si>
  <si>
    <t>T3 主面料内含纱线</t>
  </si>
  <si>
    <t>T2 主面料加工</t>
  </si>
  <si>
    <t>T1 成衣与其他材料</t>
  </si>
  <si>
    <t>销售</t>
  </si>
  <si>
    <t>服装与包装报废</t>
  </si>
  <si>
    <t>分阶段合计</t>
  </si>
  <si>
    <t>合计与成衣结果差额</t>
  </si>
  <si>
    <t>洗涤次数敏感性</t>
  </si>
  <si>
    <t>次数</t>
  </si>
  <si>
    <t>全生命周期kg CO2e</t>
  </si>
  <si>
    <t>相对基准变化</t>
  </si>
  <si>
    <t>再生纤维加工电耗敏感性</t>
  </si>
  <si>
    <t>加工电耗kWh/kg纤维</t>
  </si>
  <si>
    <t>备注</t>
  </si>
  <si>
    <t>其余参数保持基准</t>
  </si>
  <si>
    <t>成衣名义质量口径敏感性</t>
  </si>
  <si>
    <t>情景</t>
  </si>
  <si>
    <t>名义质量kg/件</t>
  </si>
  <si>
    <t>保留原模板报废总质量</t>
  </si>
  <si>
    <t>生产活动固定，仅变洗涤分摊与报废量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</si>
</sst>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  <numFmt numFmtId="178" formatCode="0.000"/>
    <numFmt numFmtId="179" formatCode="0.00000"/>
    <numFmt numFmtId="180" formatCode="0.000000"/>
  </numFmts>
  <fonts count="33">
    <font>
      <sz val="11"/>
      <name val="Carlito"/>
      <charset val="134"/>
    </font>
    <font>
      <b/>
      <sz val="11"/>
      <color rgb="FF000000"/>
      <name val="Carlito"/>
      <charset val="134"/>
    </font>
    <font>
      <b/>
      <sz val="11"/>
      <color rgb="FF000000"/>
      <name val="宋体"/>
      <charset val="134"/>
    </font>
    <font>
      <b/>
      <sz val="14"/>
      <name val="Carlito"/>
      <charset val="134"/>
    </font>
    <font>
      <b/>
      <sz val="12"/>
      <name val="宋体"/>
      <charset val="134"/>
    </font>
    <font>
      <sz val="11"/>
      <color theme="1"/>
      <name val="Calibri"/>
      <charset val="134"/>
      <scheme val="minor"/>
    </font>
    <font>
      <sz val="11"/>
      <name val="Arial"/>
      <charset val="134"/>
    </font>
    <font>
      <b/>
      <sz val="11"/>
      <color rgb="FF22384A"/>
      <name val="Arial"/>
      <charset val="134"/>
    </font>
    <font>
      <sz val="11"/>
      <name val="宋体"/>
      <charset val="134"/>
    </font>
    <font>
      <b/>
      <sz val="11"/>
      <name val="Carlito"/>
      <charset val="134"/>
    </font>
    <font>
      <b/>
      <sz val="11"/>
      <color rgb="FF22384A"/>
      <name val="Carlito"/>
      <charset val="134"/>
    </font>
    <font>
      <b/>
      <sz val="11"/>
      <color rgb="FF22384A"/>
      <name val="宋体"/>
      <charset val="134"/>
    </font>
    <font>
      <b/>
      <sz val="14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rgb="FF000000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D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2" fontId="3" fillId="2" borderId="0" xfId="0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/>
    <xf numFmtId="0" fontId="4" fillId="0" borderId="0" xfId="49" applyFont="1"/>
    <xf numFmtId="0" fontId="5" fillId="0" borderId="0" xfId="0" applyNumberFormat="1" applyFont="1" applyFill="1" applyBorder="1" applyAlignment="1">
      <alignment horizontal="left" vertical="top" wrapText="1"/>
    </xf>
    <xf numFmtId="0" fontId="6" fillId="2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176" fontId="6" fillId="0" borderId="0" xfId="0" applyNumberFormat="1" applyFont="1" applyFill="1" applyBorder="1" applyAlignment="1"/>
    <xf numFmtId="177" fontId="6" fillId="0" borderId="0" xfId="0" applyNumberFormat="1" applyFont="1" applyFill="1" applyBorder="1" applyAlignment="1"/>
    <xf numFmtId="0" fontId="6" fillId="2" borderId="0" xfId="0" applyNumberFormat="1" applyFont="1" applyFill="1" applyBorder="1" applyAlignment="1">
      <alignment wrapText="1"/>
    </xf>
    <xf numFmtId="2" fontId="6" fillId="0" borderId="0" xfId="0" applyNumberFormat="1" applyFont="1" applyFill="1" applyBorder="1" applyAlignment="1"/>
    <xf numFmtId="0" fontId="0" fillId="2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7" fillId="2" borderId="0" xfId="0" applyNumberFormat="1" applyFont="1" applyFill="1" applyBorder="1" applyAlignment="1">
      <alignment wrapText="1"/>
    </xf>
    <xf numFmtId="0" fontId="8" fillId="0" borderId="0" xfId="49" applyNumberFormat="1" applyFont="1" applyFill="1" applyBorder="1" applyAlignment="1">
      <alignment vertical="center" wrapText="1"/>
    </xf>
    <xf numFmtId="178" fontId="0" fillId="0" borderId="0" xfId="49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179" fontId="0" fillId="0" borderId="0" xfId="0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178" fontId="0" fillId="0" borderId="0" xfId="49" applyNumberFormat="1" applyFont="1" applyFill="1" applyBorder="1" applyAlignment="1">
      <alignment wrapText="1"/>
    </xf>
    <xf numFmtId="0" fontId="1" fillId="0" borderId="0" xfId="49" applyNumberFormat="1" applyFont="1" applyFill="1" applyBorder="1" applyAlignment="1">
      <alignment vertical="center" wrapText="1"/>
    </xf>
    <xf numFmtId="178" fontId="1" fillId="0" borderId="0" xfId="49" applyNumberFormat="1" applyFont="1" applyFill="1" applyBorder="1" applyAlignment="1">
      <alignment vertical="center" wrapText="1"/>
    </xf>
    <xf numFmtId="176" fontId="9" fillId="2" borderId="0" xfId="0" applyNumberFormat="1" applyFont="1" applyFill="1" applyBorder="1" applyAlignment="1"/>
    <xf numFmtId="0" fontId="10" fillId="2" borderId="0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wrapText="1"/>
    </xf>
    <xf numFmtId="0" fontId="10" fillId="2" borderId="0" xfId="0" applyNumberFormat="1" applyFont="1" applyFill="1" applyBorder="1" applyAlignment="1">
      <alignment wrapText="1"/>
    </xf>
    <xf numFmtId="180" fontId="0" fillId="0" borderId="0" xfId="0" applyNumberFormat="1" applyFont="1" applyFill="1" applyBorder="1" applyAlignment="1">
      <alignment vertical="center" wrapText="1"/>
    </xf>
    <xf numFmtId="0" fontId="9" fillId="2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  <xf numFmtId="0" fontId="12" fillId="0" borderId="0" xfId="49" applyNumberFormat="1" applyFont="1" applyFill="1" applyBorder="1" applyAlignment="1">
      <alignment horizontal="center"/>
    </xf>
    <xf numFmtId="0" fontId="13" fillId="0" borderId="0" xfId="49" applyNumberFormat="1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opLeftCell="A12" workbookViewId="0">
      <selection activeCell="A1" sqref="A1:F1"/>
    </sheetView>
  </sheetViews>
  <sheetFormatPr defaultColWidth="9" defaultRowHeight="16.8" outlineLevelCol="5"/>
  <cols>
    <col min="1" max="1" width="16" customWidth="1"/>
    <col min="2" max="2" width="104" customWidth="1"/>
  </cols>
  <sheetData>
    <row r="1" ht="24" customHeight="1" spans="1:2">
      <c r="A1" s="37" t="s">
        <v>0</v>
      </c>
    </row>
    <row r="3" ht="17" spans="1:2">
      <c r="A3" s="1" t="s">
        <v>1</v>
      </c>
      <c r="B3" s="1" t="s">
        <v>2</v>
      </c>
    </row>
    <row r="4" ht="14" customHeight="1" spans="1:2">
      <c r="A4" s="3" t="s">
        <v>3</v>
      </c>
      <c r="B4" s="22" t="s">
        <v>4</v>
      </c>
    </row>
    <row r="5" ht="14" customHeight="1" spans="1:2">
      <c r="A5" s="3" t="s">
        <v>5</v>
      </c>
      <c r="B5" s="22" t="s">
        <v>6</v>
      </c>
    </row>
    <row r="6" ht="14" customHeight="1" spans="1:2">
      <c r="A6" s="3" t="s">
        <v>7</v>
      </c>
      <c r="B6" s="22" t="s">
        <v>8</v>
      </c>
    </row>
    <row r="7" ht="26.4" customHeight="1" spans="1:2">
      <c r="A7" s="3" t="s">
        <v>9</v>
      </c>
      <c r="B7" s="22" t="s">
        <v>10</v>
      </c>
    </row>
    <row r="8" ht="14" customHeight="1" spans="1:2">
      <c r="A8" s="20" t="s">
        <v>11</v>
      </c>
      <c r="B8" s="22" t="s">
        <v>12</v>
      </c>
    </row>
    <row r="9" ht="14" customHeight="1" spans="1:2">
      <c r="A9" s="3" t="s">
        <v>13</v>
      </c>
      <c r="B9" s="22" t="s">
        <v>14</v>
      </c>
    </row>
    <row r="10" ht="26.4" customHeight="1" spans="1:2">
      <c r="A10" s="38" t="s">
        <v>15</v>
      </c>
      <c r="B10" s="39" t="s">
        <v>16</v>
      </c>
    </row>
    <row r="11" ht="14" customHeight="1" spans="1:2">
      <c r="B11" s="5"/>
    </row>
    <row r="12" ht="26.4" customHeight="1" spans="1:2">
      <c r="A12" t="s">
        <v>17</v>
      </c>
      <c r="B12" s="5" t="s">
        <v>18</v>
      </c>
    </row>
    <row r="13" ht="26.4" customHeight="1" spans="1:2">
      <c r="A13" t="s">
        <v>19</v>
      </c>
      <c r="B13" s="5" t="s">
        <v>20</v>
      </c>
    </row>
    <row r="14" ht="26.4" customHeight="1" spans="1:2">
      <c r="A14" t="s">
        <v>21</v>
      </c>
      <c r="B14" s="5" t="s">
        <v>22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0" customWidth="1"/>
    <col min="2" max="2" width="28" customWidth="1"/>
    <col min="3" max="3" width="55" customWidth="1"/>
    <col min="4" max="4" width="14" customWidth="1"/>
    <col min="5" max="5" width="48" customWidth="1"/>
    <col min="6" max="6" width="10" customWidth="1"/>
    <col min="7" max="7" width="18" customWidth="1"/>
    <col min="8" max="8" width="72" customWidth="1"/>
    <col min="9" max="11" width="22" customWidth="1"/>
    <col min="12" max="12" width="62" customWidth="1"/>
    <col min="13" max="14" width="60" customWidth="1"/>
    <col min="15" max="15" width="22" customWidth="1"/>
  </cols>
  <sheetData>
    <row r="1" ht="38" customHeight="1" spans="1:15">
      <c r="A1" s="30" t="s">
        <v>23</v>
      </c>
      <c r="B1" s="30" t="s">
        <v>24</v>
      </c>
      <c r="C1" s="30" t="s">
        <v>25</v>
      </c>
      <c r="D1" s="30" t="s">
        <v>26</v>
      </c>
      <c r="E1" s="30" t="s">
        <v>27</v>
      </c>
      <c r="F1" s="30" t="s">
        <v>28</v>
      </c>
      <c r="G1" s="31" t="s">
        <v>29</v>
      </c>
      <c r="H1" s="32" t="s">
        <v>30</v>
      </c>
      <c r="I1" s="33" t="s">
        <v>31</v>
      </c>
      <c r="J1" s="33" t="s">
        <v>32</v>
      </c>
      <c r="K1" s="33" t="s">
        <v>33</v>
      </c>
      <c r="L1" s="33" t="s">
        <v>34</v>
      </c>
      <c r="M1" s="33" t="s">
        <v>35</v>
      </c>
      <c r="N1" s="33" t="s">
        <v>36</v>
      </c>
      <c r="O1" s="33" t="s">
        <v>37</v>
      </c>
    </row>
    <row r="2" ht="26.4" customHeight="1" spans="1:15">
      <c r="A2" s="22" t="s">
        <v>38</v>
      </c>
      <c r="B2" s="22" t="s">
        <v>39</v>
      </c>
      <c r="C2" s="22" t="s">
        <v>40</v>
      </c>
      <c r="D2" s="22" t="s">
        <v>41</v>
      </c>
      <c r="E2" s="22" t="s">
        <v>42</v>
      </c>
      <c r="F2" s="22" t="s">
        <v>43</v>
      </c>
      <c r="G2" s="34">
        <f>G24/B41+B42*G7+(1/B41-1)*G9</f>
        <v>2.53102898571875</v>
      </c>
      <c r="H2" s="22" t="s">
        <v>44</v>
      </c>
      <c r="I2" s="22"/>
      <c r="J2" s="34"/>
      <c r="K2" s="34"/>
      <c r="L2" s="22" t="s">
        <v>45</v>
      </c>
      <c r="M2" s="22"/>
      <c r="N2" s="22"/>
      <c r="O2" s="22"/>
    </row>
    <row r="3" ht="26.4" customHeight="1" spans="1:15">
      <c r="A3" s="22" t="s">
        <v>46</v>
      </c>
      <c r="B3" s="22" t="s">
        <v>47</v>
      </c>
      <c r="C3" s="22" t="s">
        <v>48</v>
      </c>
      <c r="D3" s="22" t="s">
        <v>49</v>
      </c>
      <c r="E3" s="22" t="s">
        <v>50</v>
      </c>
      <c r="F3" s="22" t="s">
        <v>43</v>
      </c>
      <c r="G3" s="34">
        <f t="shared" ref="G3:G29" si="0">J3*K3</f>
        <v>4.78082634868608</v>
      </c>
      <c r="H3" s="22" t="s">
        <v>51</v>
      </c>
      <c r="I3" s="22" t="s">
        <v>43</v>
      </c>
      <c r="J3" s="34">
        <v>4.78082634868608</v>
      </c>
      <c r="K3" s="34">
        <v>1</v>
      </c>
      <c r="L3" s="22" t="s">
        <v>52</v>
      </c>
      <c r="M3" s="22" t="s">
        <v>53</v>
      </c>
      <c r="N3" s="22" t="s">
        <v>54</v>
      </c>
      <c r="O3" s="22">
        <v>1</v>
      </c>
    </row>
    <row r="4" ht="26.4" customHeight="1" spans="1:15">
      <c r="A4" s="22" t="s">
        <v>55</v>
      </c>
      <c r="B4" s="22" t="s">
        <v>56</v>
      </c>
      <c r="C4" s="22" t="s">
        <v>57</v>
      </c>
      <c r="D4" s="22" t="s">
        <v>49</v>
      </c>
      <c r="E4" s="22" t="s">
        <v>58</v>
      </c>
      <c r="F4" s="22" t="s">
        <v>43</v>
      </c>
      <c r="G4" s="34">
        <f t="shared" si="0"/>
        <v>1.23447101197278</v>
      </c>
      <c r="H4" s="22" t="s">
        <v>59</v>
      </c>
      <c r="I4" s="22" t="s">
        <v>43</v>
      </c>
      <c r="J4" s="34">
        <v>1.23447101197278</v>
      </c>
      <c r="K4" s="34">
        <v>1</v>
      </c>
      <c r="L4" s="22" t="s">
        <v>60</v>
      </c>
      <c r="M4" s="22" t="s">
        <v>61</v>
      </c>
      <c r="N4" s="22" t="s">
        <v>54</v>
      </c>
      <c r="O4" s="22">
        <v>1</v>
      </c>
    </row>
    <row r="5" ht="26.4" customHeight="1" spans="1:15">
      <c r="A5" s="22" t="s">
        <v>62</v>
      </c>
      <c r="B5" s="22" t="s">
        <v>63</v>
      </c>
      <c r="C5" s="22" t="s">
        <v>64</v>
      </c>
      <c r="D5" s="22" t="s">
        <v>49</v>
      </c>
      <c r="E5" s="22" t="s">
        <v>65</v>
      </c>
      <c r="F5" s="22" t="s">
        <v>43</v>
      </c>
      <c r="G5" s="34">
        <f t="shared" si="0"/>
        <v>3.50727784564692</v>
      </c>
      <c r="H5" s="22" t="s">
        <v>66</v>
      </c>
      <c r="I5" s="22" t="s">
        <v>43</v>
      </c>
      <c r="J5" s="34">
        <v>3.50727784564692</v>
      </c>
      <c r="K5" s="34">
        <v>1</v>
      </c>
      <c r="L5" s="22" t="s">
        <v>67</v>
      </c>
      <c r="M5" s="22" t="s">
        <v>68</v>
      </c>
      <c r="N5" s="22" t="s">
        <v>54</v>
      </c>
      <c r="O5" s="22">
        <v>1</v>
      </c>
    </row>
    <row r="6" ht="26.4" customHeight="1" spans="1:15">
      <c r="A6" s="22" t="s">
        <v>69</v>
      </c>
      <c r="B6" s="22" t="s">
        <v>70</v>
      </c>
      <c r="C6" s="22" t="s">
        <v>71</v>
      </c>
      <c r="D6" s="22" t="s">
        <v>49</v>
      </c>
      <c r="E6" s="22" t="s">
        <v>71</v>
      </c>
      <c r="F6" s="22" t="s">
        <v>72</v>
      </c>
      <c r="G6" s="34">
        <f t="shared" si="0"/>
        <v>0.202081253206292</v>
      </c>
      <c r="H6" s="22" t="s">
        <v>73</v>
      </c>
      <c r="I6" s="22" t="s">
        <v>74</v>
      </c>
      <c r="J6" s="34">
        <v>0.202081253206292</v>
      </c>
      <c r="K6" s="34">
        <v>1</v>
      </c>
      <c r="L6" s="22" t="s">
        <v>75</v>
      </c>
      <c r="M6" s="22" t="s">
        <v>76</v>
      </c>
      <c r="N6" s="22" t="s">
        <v>54</v>
      </c>
      <c r="O6" s="22">
        <v>1</v>
      </c>
    </row>
    <row r="7" ht="26.4" customHeight="1" spans="1:15">
      <c r="A7" s="22" t="s">
        <v>77</v>
      </c>
      <c r="B7" s="22" t="s">
        <v>78</v>
      </c>
      <c r="C7" s="22" t="s">
        <v>79</v>
      </c>
      <c r="D7" s="22" t="s">
        <v>80</v>
      </c>
      <c r="E7" s="22" t="s">
        <v>78</v>
      </c>
      <c r="F7" s="22" t="s">
        <v>81</v>
      </c>
      <c r="G7" s="34">
        <f t="shared" si="0"/>
        <v>0.854194150759542</v>
      </c>
      <c r="H7" s="22" t="s">
        <v>82</v>
      </c>
      <c r="I7" s="22" t="s">
        <v>81</v>
      </c>
      <c r="J7" s="34">
        <v>0.854194150759542</v>
      </c>
      <c r="K7" s="34">
        <v>1</v>
      </c>
      <c r="L7" s="22" t="s">
        <v>83</v>
      </c>
      <c r="M7" s="22" t="s">
        <v>84</v>
      </c>
      <c r="N7" s="22" t="s">
        <v>54</v>
      </c>
      <c r="O7" s="22">
        <v>1</v>
      </c>
    </row>
    <row r="8" ht="26.4" customHeight="1" spans="1:15">
      <c r="A8" s="22" t="s">
        <v>85</v>
      </c>
      <c r="B8" s="22" t="s">
        <v>86</v>
      </c>
      <c r="C8" s="22" t="s">
        <v>87</v>
      </c>
      <c r="D8" s="22" t="s">
        <v>88</v>
      </c>
      <c r="E8" s="22" t="s">
        <v>87</v>
      </c>
      <c r="F8" s="22" t="s">
        <v>43</v>
      </c>
      <c r="G8" s="34">
        <f t="shared" si="0"/>
        <v>4.2880993123263</v>
      </c>
      <c r="H8" s="22" t="s">
        <v>89</v>
      </c>
      <c r="I8" s="22" t="s">
        <v>90</v>
      </c>
      <c r="J8" s="34">
        <v>0.10065960827057</v>
      </c>
      <c r="K8" s="34">
        <f>B43</f>
        <v>42.6</v>
      </c>
      <c r="L8" s="22" t="s">
        <v>91</v>
      </c>
      <c r="M8" s="22" t="s">
        <v>92</v>
      </c>
      <c r="N8" s="22" t="s">
        <v>54</v>
      </c>
      <c r="O8" s="22">
        <v>1</v>
      </c>
    </row>
    <row r="9" ht="26.4" customHeight="1" spans="1:15">
      <c r="A9" s="22" t="s">
        <v>93</v>
      </c>
      <c r="B9" s="22" t="s">
        <v>94</v>
      </c>
      <c r="C9" s="22" t="s">
        <v>95</v>
      </c>
      <c r="D9" s="22" t="s">
        <v>88</v>
      </c>
      <c r="E9" s="22" t="s">
        <v>96</v>
      </c>
      <c r="F9" s="22" t="s">
        <v>43</v>
      </c>
      <c r="G9" s="34">
        <f t="shared" si="0"/>
        <v>0</v>
      </c>
      <c r="H9" s="22" t="s">
        <v>97</v>
      </c>
      <c r="I9" s="22" t="s">
        <v>43</v>
      </c>
      <c r="J9" s="34">
        <v>0</v>
      </c>
      <c r="K9" s="34">
        <v>1</v>
      </c>
      <c r="L9" s="22" t="s">
        <v>98</v>
      </c>
      <c r="M9" s="22" t="s">
        <v>99</v>
      </c>
      <c r="N9" s="22" t="s">
        <v>100</v>
      </c>
      <c r="O9" s="22">
        <v>1</v>
      </c>
    </row>
    <row r="10" ht="26.4" customHeight="1" spans="1:15">
      <c r="A10" s="22" t="s">
        <v>101</v>
      </c>
      <c r="B10" s="22" t="s">
        <v>102</v>
      </c>
      <c r="C10" s="22" t="s">
        <v>103</v>
      </c>
      <c r="D10" s="22" t="s">
        <v>88</v>
      </c>
      <c r="E10" s="22" t="s">
        <v>104</v>
      </c>
      <c r="F10" s="22" t="s">
        <v>43</v>
      </c>
      <c r="G10" s="34">
        <f t="shared" si="0"/>
        <v>1.18417682216348</v>
      </c>
      <c r="H10" s="22" t="s">
        <v>105</v>
      </c>
      <c r="I10" s="22" t="s">
        <v>43</v>
      </c>
      <c r="J10" s="34">
        <v>1.18417682216348</v>
      </c>
      <c r="K10" s="34">
        <v>1</v>
      </c>
      <c r="L10" s="22" t="s">
        <v>106</v>
      </c>
      <c r="M10" s="22" t="s">
        <v>107</v>
      </c>
      <c r="N10" s="22" t="s">
        <v>54</v>
      </c>
      <c r="O10" s="22">
        <v>1</v>
      </c>
    </row>
    <row r="11" ht="26.4" customHeight="1" spans="1:15">
      <c r="A11" s="22" t="s">
        <v>108</v>
      </c>
      <c r="B11" s="22" t="s">
        <v>109</v>
      </c>
      <c r="C11" s="22" t="s">
        <v>110</v>
      </c>
      <c r="D11" s="22" t="s">
        <v>49</v>
      </c>
      <c r="E11" s="22" t="s">
        <v>111</v>
      </c>
      <c r="F11" s="22" t="s">
        <v>43</v>
      </c>
      <c r="G11" s="34">
        <f t="shared" si="0"/>
        <v>0.174250838695475</v>
      </c>
      <c r="H11" s="22" t="s">
        <v>112</v>
      </c>
      <c r="I11" s="22" t="s">
        <v>43</v>
      </c>
      <c r="J11" s="34">
        <v>0.174250838695475</v>
      </c>
      <c r="K11" s="34">
        <v>1</v>
      </c>
      <c r="L11" s="22" t="s">
        <v>113</v>
      </c>
      <c r="M11" s="22" t="s">
        <v>114</v>
      </c>
      <c r="N11" s="22" t="s">
        <v>54</v>
      </c>
      <c r="O11" s="22">
        <v>1</v>
      </c>
    </row>
    <row r="12" ht="26.4" customHeight="1" spans="1:15">
      <c r="A12" s="23" t="s">
        <v>115</v>
      </c>
      <c r="B12" s="22" t="s">
        <v>116</v>
      </c>
      <c r="C12" s="22" t="s">
        <v>117</v>
      </c>
      <c r="D12" s="22" t="s">
        <v>88</v>
      </c>
      <c r="E12" s="22" t="s">
        <v>118</v>
      </c>
      <c r="F12" s="22" t="s">
        <v>43</v>
      </c>
      <c r="G12" s="34">
        <f t="shared" si="0"/>
        <v>3.87745835399799</v>
      </c>
      <c r="H12" s="22" t="s">
        <v>119</v>
      </c>
      <c r="I12" s="22" t="s">
        <v>43</v>
      </c>
      <c r="J12" s="34">
        <v>3.87745835399799</v>
      </c>
      <c r="K12" s="34">
        <v>1</v>
      </c>
      <c r="L12" s="22" t="s">
        <v>120</v>
      </c>
      <c r="M12" s="22" t="s">
        <v>121</v>
      </c>
      <c r="N12" s="22" t="s">
        <v>54</v>
      </c>
      <c r="O12" s="22">
        <v>1</v>
      </c>
    </row>
    <row r="13" ht="26.4" customHeight="1" spans="1:15">
      <c r="A13" s="23" t="s">
        <v>122</v>
      </c>
      <c r="B13" s="22" t="s">
        <v>123</v>
      </c>
      <c r="C13" s="22" t="s">
        <v>124</v>
      </c>
      <c r="D13" s="22" t="s">
        <v>88</v>
      </c>
      <c r="E13" s="22" t="s">
        <v>125</v>
      </c>
      <c r="F13" s="22" t="s">
        <v>43</v>
      </c>
      <c r="G13" s="34">
        <f t="shared" si="0"/>
        <v>3.54873238468366</v>
      </c>
      <c r="H13" s="22" t="s">
        <v>126</v>
      </c>
      <c r="I13" s="22" t="s">
        <v>43</v>
      </c>
      <c r="J13" s="34">
        <v>3.54873238468366</v>
      </c>
      <c r="K13" s="34">
        <v>1</v>
      </c>
      <c r="L13" s="22" t="s">
        <v>127</v>
      </c>
      <c r="M13" s="22" t="s">
        <v>128</v>
      </c>
      <c r="N13" s="22" t="s">
        <v>54</v>
      </c>
      <c r="O13" s="22">
        <v>1</v>
      </c>
    </row>
    <row r="14" ht="26.4" customHeight="1" spans="1:15">
      <c r="A14" s="22" t="s">
        <v>129</v>
      </c>
      <c r="B14" s="22" t="s">
        <v>130</v>
      </c>
      <c r="C14" s="22" t="s">
        <v>131</v>
      </c>
      <c r="D14" s="22" t="s">
        <v>49</v>
      </c>
      <c r="E14" s="22" t="s">
        <v>132</v>
      </c>
      <c r="F14" s="22" t="s">
        <v>43</v>
      </c>
      <c r="G14" s="34">
        <f t="shared" si="0"/>
        <v>0.345898157969279</v>
      </c>
      <c r="H14" s="22" t="s">
        <v>133</v>
      </c>
      <c r="I14" s="22" t="s">
        <v>43</v>
      </c>
      <c r="J14" s="34">
        <v>0.345898157969279</v>
      </c>
      <c r="K14" s="34">
        <v>1</v>
      </c>
      <c r="L14" s="22" t="s">
        <v>134</v>
      </c>
      <c r="M14" s="22" t="s">
        <v>135</v>
      </c>
      <c r="N14" s="22" t="s">
        <v>54</v>
      </c>
      <c r="O14" s="22">
        <v>1</v>
      </c>
    </row>
    <row r="15" ht="26.4" customHeight="1" spans="1:15">
      <c r="A15" s="22" t="s">
        <v>136</v>
      </c>
      <c r="B15" s="22" t="s">
        <v>137</v>
      </c>
      <c r="C15" s="22" t="s">
        <v>138</v>
      </c>
      <c r="D15" s="22" t="s">
        <v>49</v>
      </c>
      <c r="E15" s="22" t="s">
        <v>139</v>
      </c>
      <c r="F15" s="22" t="s">
        <v>140</v>
      </c>
      <c r="G15" s="34">
        <f t="shared" si="0"/>
        <v>2.22924275854904</v>
      </c>
      <c r="H15" s="22" t="s">
        <v>141</v>
      </c>
      <c r="I15" s="22" t="s">
        <v>90</v>
      </c>
      <c r="J15" s="34">
        <v>0.0691881675527325</v>
      </c>
      <c r="K15" s="34">
        <f>B44*B45</f>
        <v>32.22</v>
      </c>
      <c r="L15" s="22" t="s">
        <v>142</v>
      </c>
      <c r="M15" s="22" t="s">
        <v>143</v>
      </c>
      <c r="N15" s="22" t="s">
        <v>54</v>
      </c>
      <c r="O15" s="22">
        <v>1</v>
      </c>
    </row>
    <row r="16" ht="26.4" customHeight="1" spans="1:15">
      <c r="A16" s="22" t="s">
        <v>144</v>
      </c>
      <c r="B16" s="22" t="s">
        <v>145</v>
      </c>
      <c r="C16" s="22" t="s">
        <v>146</v>
      </c>
      <c r="D16" s="22" t="s">
        <v>49</v>
      </c>
      <c r="E16" s="22" t="s">
        <v>147</v>
      </c>
      <c r="F16" s="22" t="s">
        <v>43</v>
      </c>
      <c r="G16" s="34">
        <f t="shared" si="0"/>
        <v>1.48277633958312</v>
      </c>
      <c r="H16" s="22" t="s">
        <v>148</v>
      </c>
      <c r="I16" s="22" t="s">
        <v>43</v>
      </c>
      <c r="J16" s="34">
        <v>1.48277633958312</v>
      </c>
      <c r="K16" s="34">
        <f>B47</f>
        <v>1</v>
      </c>
      <c r="L16" s="22" t="s">
        <v>149</v>
      </c>
      <c r="M16" s="22" t="s">
        <v>150</v>
      </c>
      <c r="N16" s="22" t="s">
        <v>54</v>
      </c>
      <c r="O16" s="22">
        <v>1</v>
      </c>
    </row>
    <row r="17" ht="26.4" customHeight="1" spans="1:15">
      <c r="A17" s="23" t="s">
        <v>151</v>
      </c>
      <c r="B17" s="22" t="s">
        <v>152</v>
      </c>
      <c r="C17" s="22" t="s">
        <v>153</v>
      </c>
      <c r="D17" s="22" t="s">
        <v>88</v>
      </c>
      <c r="E17" s="22" t="s">
        <v>154</v>
      </c>
      <c r="F17" s="22" t="s">
        <v>43</v>
      </c>
      <c r="G17" s="34">
        <f t="shared" si="0"/>
        <v>1.57257312536736</v>
      </c>
      <c r="H17" s="22" t="s">
        <v>155</v>
      </c>
      <c r="I17" s="22" t="s">
        <v>43</v>
      </c>
      <c r="J17" s="34">
        <v>1.57257312536736</v>
      </c>
      <c r="K17" s="34">
        <v>1</v>
      </c>
      <c r="L17" s="22" t="s">
        <v>156</v>
      </c>
      <c r="M17" s="22" t="s">
        <v>157</v>
      </c>
      <c r="N17" s="22" t="s">
        <v>54</v>
      </c>
      <c r="O17" s="22">
        <v>1</v>
      </c>
    </row>
    <row r="18" ht="26.4" customHeight="1" spans="1:15">
      <c r="A18" s="22" t="s">
        <v>158</v>
      </c>
      <c r="B18" s="22" t="s">
        <v>159</v>
      </c>
      <c r="C18" s="22" t="s">
        <v>146</v>
      </c>
      <c r="D18" s="22" t="s">
        <v>49</v>
      </c>
      <c r="E18" s="22" t="s">
        <v>160</v>
      </c>
      <c r="F18" s="22" t="s">
        <v>43</v>
      </c>
      <c r="G18" s="34">
        <f t="shared" si="0"/>
        <v>2.63949714899613</v>
      </c>
      <c r="H18" s="22" t="s">
        <v>161</v>
      </c>
      <c r="I18" s="22" t="s">
        <v>43</v>
      </c>
      <c r="J18" s="34">
        <v>2.63949714899613</v>
      </c>
      <c r="K18" s="34">
        <f>B48</f>
        <v>1</v>
      </c>
      <c r="L18" s="22" t="s">
        <v>162</v>
      </c>
      <c r="M18" s="22" t="s">
        <v>163</v>
      </c>
      <c r="N18" s="22" t="s">
        <v>54</v>
      </c>
      <c r="O18" s="22">
        <v>1</v>
      </c>
    </row>
    <row r="19" ht="26.4" customHeight="1" spans="1:15">
      <c r="A19" s="22" t="s">
        <v>164</v>
      </c>
      <c r="B19" s="22" t="s">
        <v>165</v>
      </c>
      <c r="C19" s="22" t="s">
        <v>166</v>
      </c>
      <c r="D19" s="22" t="s">
        <v>49</v>
      </c>
      <c r="E19" s="22" t="s">
        <v>167</v>
      </c>
      <c r="F19" s="22" t="s">
        <v>43</v>
      </c>
      <c r="G19" s="34">
        <f t="shared" si="0"/>
        <v>0.518992531466736</v>
      </c>
      <c r="H19" s="22" t="s">
        <v>168</v>
      </c>
      <c r="I19" s="22" t="s">
        <v>43</v>
      </c>
      <c r="J19" s="34">
        <v>0.518992531466736</v>
      </c>
      <c r="K19" s="34">
        <v>1</v>
      </c>
      <c r="L19" s="22" t="s">
        <v>169</v>
      </c>
      <c r="M19" s="22" t="s">
        <v>170</v>
      </c>
      <c r="N19" s="22" t="s">
        <v>54</v>
      </c>
      <c r="O19" s="22">
        <v>-1</v>
      </c>
    </row>
    <row r="20" ht="26.4" customHeight="1" spans="1:15">
      <c r="A20" s="22" t="s">
        <v>171</v>
      </c>
      <c r="B20" s="22" t="s">
        <v>172</v>
      </c>
      <c r="C20" s="22" t="s">
        <v>173</v>
      </c>
      <c r="D20" s="22" t="s">
        <v>49</v>
      </c>
      <c r="E20" s="22" t="s">
        <v>172</v>
      </c>
      <c r="F20" s="22" t="s">
        <v>43</v>
      </c>
      <c r="G20" s="34">
        <f t="shared" si="0"/>
        <v>0.00119976287089776</v>
      </c>
      <c r="H20" s="22" t="s">
        <v>174</v>
      </c>
      <c r="I20" s="22" t="s">
        <v>43</v>
      </c>
      <c r="J20" s="34">
        <v>0.00119976287089776</v>
      </c>
      <c r="K20" s="34">
        <v>1</v>
      </c>
      <c r="L20" s="22" t="s">
        <v>175</v>
      </c>
      <c r="M20" s="22" t="s">
        <v>176</v>
      </c>
      <c r="N20" s="22" t="s">
        <v>54</v>
      </c>
      <c r="O20" s="22">
        <v>1</v>
      </c>
    </row>
    <row r="21" ht="26.4" customHeight="1" spans="1:15">
      <c r="A21" s="22" t="s">
        <v>177</v>
      </c>
      <c r="B21" s="22" t="s">
        <v>178</v>
      </c>
      <c r="C21" s="22" t="s">
        <v>179</v>
      </c>
      <c r="D21" s="22" t="s">
        <v>49</v>
      </c>
      <c r="E21" s="22" t="s">
        <v>180</v>
      </c>
      <c r="F21" s="22" t="s">
        <v>43</v>
      </c>
      <c r="G21" s="34">
        <f t="shared" si="0"/>
        <v>0.000467570237649476</v>
      </c>
      <c r="H21" s="22" t="s">
        <v>181</v>
      </c>
      <c r="I21" s="22" t="s">
        <v>140</v>
      </c>
      <c r="J21" s="34">
        <v>0.467570237649476</v>
      </c>
      <c r="K21" s="34">
        <f>1/B49</f>
        <v>0.001</v>
      </c>
      <c r="L21" s="22" t="s">
        <v>182</v>
      </c>
      <c r="M21" s="22" t="s">
        <v>183</v>
      </c>
      <c r="N21" s="22" t="s">
        <v>54</v>
      </c>
      <c r="O21" s="22">
        <v>-1</v>
      </c>
    </row>
    <row r="22" ht="26.4" customHeight="1" spans="1:15">
      <c r="A22" s="23" t="s">
        <v>184</v>
      </c>
      <c r="B22" s="22" t="s">
        <v>185</v>
      </c>
      <c r="C22" s="22" t="s">
        <v>186</v>
      </c>
      <c r="D22" s="22" t="s">
        <v>88</v>
      </c>
      <c r="E22" s="22" t="s">
        <v>187</v>
      </c>
      <c r="F22" s="22" t="s">
        <v>43</v>
      </c>
      <c r="G22" s="34">
        <f t="shared" si="0"/>
        <v>3.9045679038398</v>
      </c>
      <c r="H22" s="22" t="s">
        <v>188</v>
      </c>
      <c r="I22" s="22" t="s">
        <v>43</v>
      </c>
      <c r="J22" s="34">
        <v>3.9045679038398</v>
      </c>
      <c r="K22" s="34">
        <v>1</v>
      </c>
      <c r="L22" s="22" t="s">
        <v>189</v>
      </c>
      <c r="M22" s="22" t="s">
        <v>190</v>
      </c>
      <c r="N22" s="22" t="s">
        <v>54</v>
      </c>
      <c r="O22" s="22">
        <v>1</v>
      </c>
    </row>
    <row r="23" ht="26.4" customHeight="1" spans="1:15">
      <c r="A23" s="22" t="s">
        <v>191</v>
      </c>
      <c r="B23" s="22" t="s">
        <v>192</v>
      </c>
      <c r="C23" s="22" t="s">
        <v>193</v>
      </c>
      <c r="D23" s="22" t="s">
        <v>49</v>
      </c>
      <c r="E23" s="22" t="s">
        <v>192</v>
      </c>
      <c r="F23" s="22" t="s">
        <v>43</v>
      </c>
      <c r="G23" s="34">
        <f t="shared" si="0"/>
        <v>1.29645912636907</v>
      </c>
      <c r="H23" s="22" t="s">
        <v>194</v>
      </c>
      <c r="I23" s="22" t="s">
        <v>43</v>
      </c>
      <c r="J23" s="34">
        <v>1.29645912636907</v>
      </c>
      <c r="K23" s="34">
        <v>1</v>
      </c>
      <c r="L23" s="22" t="s">
        <v>195</v>
      </c>
      <c r="M23" s="22" t="s">
        <v>196</v>
      </c>
      <c r="N23" s="22" t="s">
        <v>54</v>
      </c>
      <c r="O23" s="22">
        <v>1</v>
      </c>
    </row>
    <row r="24" ht="26.4" customHeight="1" spans="1:15">
      <c r="A24" s="22" t="s">
        <v>197</v>
      </c>
      <c r="B24" s="22" t="s">
        <v>198</v>
      </c>
      <c r="C24" s="22" t="s">
        <v>199</v>
      </c>
      <c r="D24" s="22" t="s">
        <v>200</v>
      </c>
      <c r="E24" s="22" t="s">
        <v>198</v>
      </c>
      <c r="F24" s="22" t="s">
        <v>43</v>
      </c>
      <c r="G24" s="34">
        <f t="shared" si="0"/>
        <v>1.18725087160046</v>
      </c>
      <c r="H24" s="22" t="s">
        <v>201</v>
      </c>
      <c r="I24" s="22" t="s">
        <v>43</v>
      </c>
      <c r="J24" s="34">
        <v>1.18725087160046</v>
      </c>
      <c r="K24" s="34">
        <v>1</v>
      </c>
      <c r="L24" s="22" t="s">
        <v>202</v>
      </c>
      <c r="M24" s="22" t="s">
        <v>203</v>
      </c>
      <c r="N24" s="22" t="s">
        <v>54</v>
      </c>
      <c r="O24" s="22">
        <v>1</v>
      </c>
    </row>
    <row r="25" ht="26.4" customHeight="1" spans="1:15">
      <c r="A25" s="22" t="s">
        <v>204</v>
      </c>
      <c r="B25" s="22" t="s">
        <v>205</v>
      </c>
      <c r="C25" s="22" t="s">
        <v>206</v>
      </c>
      <c r="D25" s="22" t="s">
        <v>80</v>
      </c>
      <c r="E25" s="22" t="s">
        <v>205</v>
      </c>
      <c r="F25" s="22" t="s">
        <v>81</v>
      </c>
      <c r="G25" s="34">
        <f t="shared" si="0"/>
        <v>0.84737293636601</v>
      </c>
      <c r="H25" s="22" t="s">
        <v>207</v>
      </c>
      <c r="I25" s="22" t="s">
        <v>81</v>
      </c>
      <c r="J25" s="34">
        <v>0.84737293636601</v>
      </c>
      <c r="K25" s="34">
        <v>1</v>
      </c>
      <c r="L25" s="22" t="s">
        <v>208</v>
      </c>
      <c r="M25" s="22" t="s">
        <v>209</v>
      </c>
      <c r="N25" s="22" t="s">
        <v>54</v>
      </c>
      <c r="O25" s="22">
        <v>1</v>
      </c>
    </row>
    <row r="26" ht="26.4" customHeight="1" spans="1:15">
      <c r="A26" s="22" t="s">
        <v>210</v>
      </c>
      <c r="B26" s="22" t="s">
        <v>211</v>
      </c>
      <c r="C26" s="22" t="s">
        <v>212</v>
      </c>
      <c r="D26" s="22" t="s">
        <v>88</v>
      </c>
      <c r="E26" s="22" t="s">
        <v>211</v>
      </c>
      <c r="F26" s="22" t="s">
        <v>43</v>
      </c>
      <c r="G26" s="34">
        <f t="shared" si="0"/>
        <v>2.06639111503867</v>
      </c>
      <c r="H26" s="22" t="s">
        <v>213</v>
      </c>
      <c r="I26" s="22" t="s">
        <v>43</v>
      </c>
      <c r="J26" s="34">
        <v>2.06639111503867</v>
      </c>
      <c r="K26" s="34">
        <v>1</v>
      </c>
      <c r="L26" s="22" t="s">
        <v>214</v>
      </c>
      <c r="M26" s="22" t="s">
        <v>215</v>
      </c>
      <c r="N26" s="22" t="s">
        <v>54</v>
      </c>
      <c r="O26" s="22">
        <v>-1</v>
      </c>
    </row>
    <row r="27" ht="26.4" customHeight="1" spans="1:15">
      <c r="A27" s="22" t="s">
        <v>216</v>
      </c>
      <c r="B27" s="22" t="s">
        <v>217</v>
      </c>
      <c r="C27" s="22" t="s">
        <v>218</v>
      </c>
      <c r="D27" s="22" t="s">
        <v>88</v>
      </c>
      <c r="E27" s="22" t="s">
        <v>217</v>
      </c>
      <c r="F27" s="22" t="s">
        <v>43</v>
      </c>
      <c r="G27" s="34">
        <f t="shared" si="0"/>
        <v>3.09889623395921</v>
      </c>
      <c r="H27" s="22" t="s">
        <v>219</v>
      </c>
      <c r="I27" s="22" t="s">
        <v>43</v>
      </c>
      <c r="J27" s="34">
        <v>3.09889623395921</v>
      </c>
      <c r="K27" s="34">
        <v>1</v>
      </c>
      <c r="L27" s="22" t="s">
        <v>220</v>
      </c>
      <c r="M27" s="22" t="s">
        <v>221</v>
      </c>
      <c r="N27" s="22" t="s">
        <v>54</v>
      </c>
      <c r="O27" s="22">
        <v>-1</v>
      </c>
    </row>
    <row r="28" ht="26.4" customHeight="1" spans="1:15">
      <c r="A28" s="22" t="s">
        <v>222</v>
      </c>
      <c r="B28" s="22" t="s">
        <v>223</v>
      </c>
      <c r="C28" s="22" t="s">
        <v>224</v>
      </c>
      <c r="D28" s="22" t="s">
        <v>88</v>
      </c>
      <c r="E28" s="22" t="s">
        <v>223</v>
      </c>
      <c r="F28" s="22" t="s">
        <v>43</v>
      </c>
      <c r="G28" s="34">
        <f t="shared" si="0"/>
        <v>0</v>
      </c>
      <c r="H28" s="22" t="s">
        <v>225</v>
      </c>
      <c r="I28" s="22" t="s">
        <v>43</v>
      </c>
      <c r="J28" s="34">
        <v>0</v>
      </c>
      <c r="K28" s="34">
        <v>1</v>
      </c>
      <c r="L28" s="22" t="s">
        <v>226</v>
      </c>
      <c r="M28" s="22" t="s">
        <v>227</v>
      </c>
      <c r="N28" s="22" t="s">
        <v>100</v>
      </c>
      <c r="O28" s="22">
        <v>1</v>
      </c>
    </row>
    <row r="29" ht="26.4" customHeight="1" spans="1:15">
      <c r="A29" s="22" t="s">
        <v>228</v>
      </c>
      <c r="B29" s="22" t="s">
        <v>229</v>
      </c>
      <c r="C29" s="22" t="s">
        <v>230</v>
      </c>
      <c r="D29" s="22" t="s">
        <v>49</v>
      </c>
      <c r="E29" s="22" t="s">
        <v>229</v>
      </c>
      <c r="F29" s="22" t="s">
        <v>43</v>
      </c>
      <c r="G29" s="34">
        <f t="shared" si="0"/>
        <v>6.16881075775421</v>
      </c>
      <c r="H29" s="22" t="s">
        <v>231</v>
      </c>
      <c r="I29" s="22" t="s">
        <v>43</v>
      </c>
      <c r="J29" s="34">
        <v>6.16881075775421</v>
      </c>
      <c r="K29" s="34">
        <v>1</v>
      </c>
      <c r="L29" s="22" t="s">
        <v>232</v>
      </c>
      <c r="M29" s="22" t="s">
        <v>233</v>
      </c>
      <c r="N29" s="22" t="s">
        <v>54</v>
      </c>
      <c r="O29" s="22">
        <v>1</v>
      </c>
    </row>
    <row r="31" spans="1:15">
      <c r="A31" t="s">
        <v>234</v>
      </c>
      <c r="C31" t="s">
        <v>235</v>
      </c>
    </row>
    <row r="32" spans="1:15">
      <c r="C32" t="s">
        <v>236</v>
      </c>
    </row>
    <row r="33" spans="1:15">
      <c r="C33" t="s">
        <v>237</v>
      </c>
    </row>
    <row r="34" ht="32" customHeight="1" spans="1:15">
      <c r="A34" s="35" t="s">
        <v>238</v>
      </c>
      <c r="B34" s="35" t="s">
        <v>239</v>
      </c>
      <c r="C34" s="35" t="s">
        <v>13</v>
      </c>
      <c r="D34" s="35"/>
      <c r="E34" s="35"/>
      <c r="F34" s="35"/>
      <c r="G34" s="35"/>
      <c r="H34" s="35" t="s">
        <v>240</v>
      </c>
      <c r="I34" s="35"/>
      <c r="J34" s="35"/>
      <c r="K34" s="35"/>
      <c r="L34" s="35"/>
      <c r="M34" s="35"/>
      <c r="N34" s="35"/>
      <c r="O34" s="35"/>
    </row>
    <row r="35" ht="42" customHeight="1" spans="1:15">
      <c r="A35" s="5" t="s">
        <v>241</v>
      </c>
      <c r="B35" s="36">
        <v>100</v>
      </c>
      <c r="C35" s="5" t="s">
        <v>242</v>
      </c>
      <c r="H35" s="5" t="s">
        <v>243</v>
      </c>
    </row>
    <row r="36" ht="42" customHeight="1" spans="1:15">
      <c r="A36" s="5" t="s">
        <v>244</v>
      </c>
      <c r="B36" s="36">
        <v>2.55</v>
      </c>
      <c r="C36" s="5" t="s">
        <v>245</v>
      </c>
      <c r="H36" s="5" t="s">
        <v>246</v>
      </c>
    </row>
    <row r="37" ht="42" customHeight="1" spans="1:15">
      <c r="A37" s="5" t="s">
        <v>247</v>
      </c>
      <c r="B37" s="36">
        <v>57</v>
      </c>
      <c r="C37" s="5" t="s">
        <v>245</v>
      </c>
      <c r="H37" s="5" t="s">
        <v>248</v>
      </c>
    </row>
    <row r="38" ht="42" customHeight="1" spans="1:15">
      <c r="A38" s="5" t="s">
        <v>249</v>
      </c>
      <c r="B38" s="36">
        <v>0.5</v>
      </c>
      <c r="C38" s="5" t="s">
        <v>250</v>
      </c>
      <c r="H38" s="5" t="s">
        <v>251</v>
      </c>
    </row>
    <row r="39" ht="42" customHeight="1" spans="1:15">
      <c r="A39" s="5" t="s">
        <v>252</v>
      </c>
      <c r="B39" s="36">
        <v>0.05</v>
      </c>
      <c r="C39" s="5" t="s">
        <v>245</v>
      </c>
      <c r="H39" s="5" t="s">
        <v>253</v>
      </c>
    </row>
    <row r="40" ht="42" customHeight="1" spans="1:15">
      <c r="A40" s="5" t="s">
        <v>254</v>
      </c>
      <c r="B40" s="36">
        <v>0.15</v>
      </c>
      <c r="C40" s="5" t="s">
        <v>255</v>
      </c>
      <c r="H40" s="5" t="s">
        <v>256</v>
      </c>
    </row>
    <row r="41" ht="42" customHeight="1" spans="1:15">
      <c r="A41" s="5" t="s">
        <v>257</v>
      </c>
      <c r="B41" s="36">
        <v>0.95</v>
      </c>
      <c r="C41" s="5" t="s">
        <v>255</v>
      </c>
      <c r="H41" s="5" t="s">
        <v>258</v>
      </c>
    </row>
    <row r="42" ht="42" customHeight="1" spans="1:15">
      <c r="A42" s="5" t="s">
        <v>259</v>
      </c>
      <c r="B42" s="36">
        <v>1.5</v>
      </c>
      <c r="C42" s="5" t="s">
        <v>260</v>
      </c>
      <c r="H42" s="5" t="s">
        <v>261</v>
      </c>
    </row>
    <row r="43" ht="42" customHeight="1" spans="1:15">
      <c r="A43" s="5" t="s">
        <v>262</v>
      </c>
      <c r="B43" s="36">
        <v>42.6</v>
      </c>
      <c r="C43" s="5" t="s">
        <v>263</v>
      </c>
      <c r="H43" s="5" t="s">
        <v>264</v>
      </c>
    </row>
    <row r="44" ht="42" customHeight="1" spans="1:15">
      <c r="A44" s="5" t="s">
        <v>265</v>
      </c>
      <c r="B44" s="36">
        <v>35.8</v>
      </c>
      <c r="C44" s="5" t="s">
        <v>266</v>
      </c>
      <c r="H44" s="5" t="s">
        <v>267</v>
      </c>
    </row>
    <row r="45" ht="42" customHeight="1" spans="1:15">
      <c r="A45" s="5" t="s">
        <v>268</v>
      </c>
      <c r="B45" s="36">
        <v>0.9</v>
      </c>
      <c r="C45" s="5" t="s">
        <v>255</v>
      </c>
      <c r="H45" s="5" t="s">
        <v>269</v>
      </c>
    </row>
    <row r="46" ht="42" customHeight="1" spans="1:15">
      <c r="A46" s="5" t="s">
        <v>270</v>
      </c>
      <c r="B46" s="36">
        <v>0.1</v>
      </c>
      <c r="C46" s="5" t="s">
        <v>271</v>
      </c>
      <c r="H46" s="5" t="s">
        <v>272</v>
      </c>
    </row>
    <row r="47" ht="42" customHeight="1" spans="1:15">
      <c r="A47" s="5" t="s">
        <v>273</v>
      </c>
      <c r="B47" s="36">
        <v>1</v>
      </c>
      <c r="C47" s="5" t="s">
        <v>274</v>
      </c>
      <c r="H47" s="5" t="s">
        <v>275</v>
      </c>
    </row>
    <row r="48" ht="42" customHeight="1" spans="1:15">
      <c r="A48" s="5" t="s">
        <v>276</v>
      </c>
      <c r="B48" s="36">
        <v>1</v>
      </c>
      <c r="C48" s="5" t="s">
        <v>274</v>
      </c>
      <c r="H48" s="5" t="s">
        <v>277</v>
      </c>
    </row>
    <row r="49" ht="42" customHeight="1" spans="1:8">
      <c r="A49" s="5" t="s">
        <v>278</v>
      </c>
      <c r="B49" s="36">
        <v>1000</v>
      </c>
      <c r="C49" s="5" t="s">
        <v>279</v>
      </c>
      <c r="H49" s="5" t="s">
        <v>280</v>
      </c>
    </row>
    <row r="53" spans="1:8">
      <c r="A53" t="s">
        <v>281</v>
      </c>
      <c r="C53" t="s">
        <v>282</v>
      </c>
    </row>
    <row r="54" spans="1:8">
      <c r="A54" t="s">
        <v>283</v>
      </c>
      <c r="C54" t="s">
        <v>284</v>
      </c>
      <c r="H54" t="s">
        <v>285</v>
      </c>
    </row>
  </sheetData>
  <dataValidations count="2">
    <dataValidation type="decimal" operator="greaterThan" sqref="B35 B36 B41 B43 B44 B49">
      <formula1>0</formula1>
    </dataValidation>
    <dataValidation type="decimal" operator="between" sqref="B40 B45 B47 B48">
      <formula1>0</formula1>
      <formula2>1</formula2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"/>
    </sheetView>
  </sheetViews>
  <sheetFormatPr defaultColWidth="9" defaultRowHeight="16.8" outlineLevelCol="7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58" customWidth="1"/>
    <col min="7" max="8" width="22" customWidth="1"/>
  </cols>
  <sheetData>
    <row r="1" ht="36" customHeight="1" spans="1:8">
      <c r="A1" s="1" t="s">
        <v>286</v>
      </c>
      <c r="B1" s="2" t="s">
        <v>287</v>
      </c>
      <c r="C1" s="1" t="s">
        <v>288</v>
      </c>
      <c r="D1" s="1" t="s">
        <v>289</v>
      </c>
      <c r="E1" s="1" t="s">
        <v>13</v>
      </c>
      <c r="F1" s="1" t="s">
        <v>290</v>
      </c>
      <c r="G1" s="19" t="s">
        <v>291</v>
      </c>
      <c r="H1" s="19" t="s">
        <v>292</v>
      </c>
    </row>
    <row r="2" ht="14" customHeight="1" spans="1:8">
      <c r="A2" s="3">
        <v>1</v>
      </c>
      <c r="B2" s="20" t="s">
        <v>293</v>
      </c>
      <c r="C2" s="20" t="s">
        <v>38</v>
      </c>
      <c r="D2" s="21">
        <v>0.77</v>
      </c>
      <c r="E2" s="3" t="s">
        <v>43</v>
      </c>
      <c r="F2" s="22"/>
      <c r="G2" s="12">
        <f>环境影响因子查询表!$G$2</f>
        <v>2.53102898571875</v>
      </c>
      <c r="H2" s="12">
        <f t="shared" ref="H2:H9" si="0">D2*G2</f>
        <v>1.94889231900343</v>
      </c>
    </row>
    <row r="3" ht="14" customHeight="1" spans="1:8">
      <c r="A3" s="3">
        <v>2</v>
      </c>
      <c r="B3" s="20" t="s">
        <v>293</v>
      </c>
      <c r="C3" s="3" t="s">
        <v>294</v>
      </c>
      <c r="D3" s="21">
        <v>0.29</v>
      </c>
      <c r="E3" s="3" t="s">
        <v>43</v>
      </c>
      <c r="F3" s="22"/>
      <c r="G3" s="12">
        <f>环境影响因子查询表!$G$3</f>
        <v>4.78082634868608</v>
      </c>
      <c r="H3" s="12">
        <f t="shared" si="0"/>
        <v>1.38643964111896</v>
      </c>
    </row>
    <row r="4" ht="14" customHeight="1" spans="1:8">
      <c r="A4" s="3">
        <v>3</v>
      </c>
      <c r="B4" s="20" t="s">
        <v>293</v>
      </c>
      <c r="C4" s="3" t="s">
        <v>55</v>
      </c>
      <c r="D4" s="21">
        <v>0.05</v>
      </c>
      <c r="E4" s="3" t="s">
        <v>43</v>
      </c>
      <c r="F4" s="23" t="s">
        <v>295</v>
      </c>
      <c r="G4" s="12">
        <f>环境影响因子查询表!$G$4</f>
        <v>1.23447101197278</v>
      </c>
      <c r="H4" s="12">
        <f t="shared" si="0"/>
        <v>0.061723550598639</v>
      </c>
    </row>
    <row r="5" ht="14" customHeight="1" spans="1:8">
      <c r="A5" s="3">
        <v>4</v>
      </c>
      <c r="B5" s="20" t="s">
        <v>293</v>
      </c>
      <c r="C5" s="3" t="s">
        <v>62</v>
      </c>
      <c r="D5" s="21">
        <v>0.002</v>
      </c>
      <c r="E5" s="3" t="s">
        <v>43</v>
      </c>
      <c r="F5" s="22"/>
      <c r="G5" s="12">
        <f>环境影响因子查询表!$G$5</f>
        <v>3.50727784564692</v>
      </c>
      <c r="H5" s="12">
        <f t="shared" si="0"/>
        <v>0.00701455569129383</v>
      </c>
    </row>
    <row r="6" ht="14" customHeight="1" spans="1:8">
      <c r="A6" s="3">
        <v>5</v>
      </c>
      <c r="B6" s="20" t="s">
        <v>296</v>
      </c>
      <c r="C6" s="3" t="s">
        <v>297</v>
      </c>
      <c r="D6" s="21">
        <v>0.19</v>
      </c>
      <c r="E6" s="3" t="s">
        <v>72</v>
      </c>
      <c r="F6" s="23" t="s">
        <v>298</v>
      </c>
      <c r="G6" s="12">
        <f>环境影响因子查询表!$G$6</f>
        <v>0.202081253206292</v>
      </c>
      <c r="H6" s="12">
        <f t="shared" si="0"/>
        <v>0.0383954381091955</v>
      </c>
    </row>
    <row r="7" ht="14" customHeight="1" spans="1:8">
      <c r="A7" s="3">
        <v>6</v>
      </c>
      <c r="B7" s="20" t="s">
        <v>299</v>
      </c>
      <c r="C7" s="3" t="s">
        <v>300</v>
      </c>
      <c r="D7" s="21">
        <v>3.9</v>
      </c>
      <c r="E7" s="3" t="s">
        <v>81</v>
      </c>
      <c r="F7" s="22" t="s">
        <v>301</v>
      </c>
      <c r="G7" s="12">
        <f>环境影响因子查询表!$G$7</f>
        <v>0.854194150759542</v>
      </c>
      <c r="H7" s="12">
        <f t="shared" si="0"/>
        <v>3.33135718796221</v>
      </c>
    </row>
    <row r="8" ht="14" customHeight="1" spans="1:8">
      <c r="A8" s="3">
        <v>7</v>
      </c>
      <c r="B8" s="20" t="s">
        <v>302</v>
      </c>
      <c r="C8" s="3" t="s">
        <v>93</v>
      </c>
      <c r="D8" s="21">
        <v>0.06</v>
      </c>
      <c r="E8" s="3" t="s">
        <v>43</v>
      </c>
      <c r="F8" s="22"/>
      <c r="G8" s="12">
        <f>环境影响因子查询表!$G$9</f>
        <v>0</v>
      </c>
      <c r="H8" s="12">
        <f t="shared" si="0"/>
        <v>0</v>
      </c>
    </row>
    <row r="9" ht="14" customHeight="1" spans="1:8">
      <c r="A9" s="3">
        <v>8</v>
      </c>
      <c r="B9" s="20" t="s">
        <v>303</v>
      </c>
      <c r="C9" s="3" t="s">
        <v>304</v>
      </c>
      <c r="D9" s="4">
        <v>0.0015</v>
      </c>
      <c r="E9" s="3" t="s">
        <v>43</v>
      </c>
      <c r="F9" s="22"/>
      <c r="G9" s="12">
        <f>环境影响因子查询表!$G$8</f>
        <v>4.2880993123263</v>
      </c>
      <c r="H9" s="12">
        <f t="shared" si="0"/>
        <v>0.00643214896848945</v>
      </c>
    </row>
    <row r="10" spans="1:8">
      <c r="A10" s="25"/>
      <c r="B10" s="25"/>
      <c r="C10" s="25"/>
      <c r="D10" s="26"/>
      <c r="E10" s="25"/>
      <c r="F10" s="25"/>
      <c r="G10" s="7"/>
      <c r="H10" s="7"/>
    </row>
    <row r="11" spans="1:8">
      <c r="A11" s="27" t="s">
        <v>305</v>
      </c>
      <c r="B11" s="27"/>
      <c r="C11" s="27"/>
      <c r="D11" s="28"/>
      <c r="E11" s="27"/>
      <c r="F11" s="27"/>
      <c r="G11" s="29"/>
      <c r="H11" s="29">
        <f>SUM(H2:H9)</f>
        <v>6.78025484145223</v>
      </c>
    </row>
    <row r="12" spans="1:8">
      <c r="G12" s="7"/>
      <c r="H12" s="7"/>
    </row>
    <row r="13" spans="1:8">
      <c r="G13" s="7"/>
      <c r="H13" s="7"/>
    </row>
    <row r="14" spans="1:8">
      <c r="G14" s="7"/>
      <c r="H14" s="7"/>
    </row>
    <row r="15" spans="1:8">
      <c r="G15" s="7"/>
      <c r="H15" s="7"/>
    </row>
    <row r="16" spans="1:8">
      <c r="G16" s="7"/>
      <c r="H16" s="7"/>
    </row>
    <row r="17" spans="6:8">
      <c r="G17" s="7"/>
      <c r="H17" s="7"/>
    </row>
    <row r="18" spans="6:8">
      <c r="G18" s="7"/>
      <c r="H18" s="7"/>
    </row>
    <row r="19" spans="6:8">
      <c r="G19" s="7"/>
      <c r="H19" s="7"/>
    </row>
    <row r="20" spans="6:8">
      <c r="G20" s="7"/>
      <c r="H20" s="7"/>
    </row>
    <row r="21" spans="6:8">
      <c r="G21" s="7"/>
      <c r="H21" s="7"/>
    </row>
    <row r="22" spans="6:8">
      <c r="G22" s="7"/>
      <c r="H22" s="7"/>
    </row>
    <row r="23" spans="6:8">
      <c r="G23" s="7"/>
      <c r="H23" s="7"/>
    </row>
    <row r="24" spans="6:8">
      <c r="G24" s="7"/>
      <c r="H24" s="7"/>
    </row>
    <row r="25" spans="6:8">
      <c r="G25" s="7"/>
      <c r="H25" s="7"/>
    </row>
    <row r="26" ht="14" customHeight="1" spans="6:8">
      <c r="F26" s="5"/>
      <c r="G26" s="7"/>
      <c r="H26" s="7"/>
    </row>
    <row r="27" ht="14" customHeight="1" spans="6:8">
      <c r="F27" s="5"/>
      <c r="G27" s="7"/>
      <c r="H27" s="7"/>
    </row>
    <row r="28" ht="14" customHeight="1" spans="6:8">
      <c r="F28" s="5"/>
      <c r="G28" s="7"/>
      <c r="H28" s="7"/>
    </row>
    <row r="29" ht="14" customHeight="1" spans="6:8">
      <c r="F29" s="5"/>
      <c r="G29" s="7"/>
      <c r="H29" s="7"/>
    </row>
    <row r="30" ht="14" customHeight="1" spans="6:8">
      <c r="F30" s="5"/>
      <c r="G30" s="7"/>
      <c r="H30" s="7"/>
    </row>
  </sheetData>
  <mergeCells count="1">
    <mergeCell ref="A11:E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"/>
    </sheetView>
  </sheetViews>
  <sheetFormatPr defaultColWidth="9" defaultRowHeight="16.8" outlineLevelCol="7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58" customWidth="1"/>
    <col min="7" max="8" width="22" customWidth="1"/>
  </cols>
  <sheetData>
    <row r="1" ht="36" customHeight="1" spans="1:8">
      <c r="A1" s="1" t="s">
        <v>286</v>
      </c>
      <c r="B1" s="1" t="s">
        <v>306</v>
      </c>
      <c r="C1" s="1" t="s">
        <v>288</v>
      </c>
      <c r="D1" s="1" t="s">
        <v>289</v>
      </c>
      <c r="E1" s="1" t="s">
        <v>13</v>
      </c>
      <c r="F1" s="1" t="s">
        <v>290</v>
      </c>
      <c r="G1" s="19" t="s">
        <v>291</v>
      </c>
      <c r="H1" s="19" t="s">
        <v>292</v>
      </c>
    </row>
    <row r="2" ht="14" customHeight="1" spans="1:8">
      <c r="A2" s="3">
        <v>1</v>
      </c>
      <c r="B2" s="20" t="s">
        <v>293</v>
      </c>
      <c r="C2" s="3" t="s">
        <v>307</v>
      </c>
      <c r="D2" s="21">
        <v>1.08</v>
      </c>
      <c r="E2" s="3" t="s">
        <v>43</v>
      </c>
      <c r="F2" s="22" t="s">
        <v>308</v>
      </c>
      <c r="G2" s="12">
        <f>T3_纱线!H11</f>
        <v>6.78025484145223</v>
      </c>
      <c r="H2" s="12">
        <f t="shared" ref="H2:H17" si="0">D2*G2</f>
        <v>7.32267522876841</v>
      </c>
    </row>
    <row r="3" ht="14" customHeight="1" spans="1:8">
      <c r="A3" s="3">
        <v>2</v>
      </c>
      <c r="B3" s="20" t="s">
        <v>293</v>
      </c>
      <c r="C3" s="3" t="s">
        <v>101</v>
      </c>
      <c r="D3" s="21">
        <v>0.03</v>
      </c>
      <c r="E3" s="3" t="s">
        <v>43</v>
      </c>
      <c r="F3" s="22"/>
      <c r="G3" s="12">
        <f>环境影响因子查询表!$G$10</f>
        <v>1.18417682216348</v>
      </c>
      <c r="H3" s="12">
        <f t="shared" si="0"/>
        <v>0.0355253046649044</v>
      </c>
    </row>
    <row r="4" ht="14" customHeight="1" spans="1:8">
      <c r="A4" s="3">
        <v>3</v>
      </c>
      <c r="B4" s="20" t="s">
        <v>293</v>
      </c>
      <c r="C4" s="3" t="s">
        <v>108</v>
      </c>
      <c r="D4" s="21">
        <v>0.02</v>
      </c>
      <c r="E4" s="3" t="s">
        <v>43</v>
      </c>
      <c r="F4" s="22"/>
      <c r="G4" s="12">
        <f>环境影响因子查询表!$G$11</f>
        <v>0.174250838695475</v>
      </c>
      <c r="H4" s="12">
        <f t="shared" si="0"/>
        <v>0.00348501677390951</v>
      </c>
    </row>
    <row r="5" ht="14" customHeight="1" spans="1:8">
      <c r="A5" s="3">
        <v>4</v>
      </c>
      <c r="B5" s="20" t="s">
        <v>293</v>
      </c>
      <c r="C5" s="3" t="s">
        <v>115</v>
      </c>
      <c r="D5" s="21">
        <v>0.15</v>
      </c>
      <c r="E5" s="3" t="s">
        <v>43</v>
      </c>
      <c r="F5" s="23" t="s">
        <v>309</v>
      </c>
      <c r="G5" s="12">
        <f>环境影响因子查询表!$G$12</f>
        <v>3.87745835399799</v>
      </c>
      <c r="H5" s="12">
        <f t="shared" si="0"/>
        <v>0.581618753099698</v>
      </c>
    </row>
    <row r="6" ht="14" customHeight="1" spans="1:8">
      <c r="A6" s="3">
        <v>5</v>
      </c>
      <c r="B6" s="20" t="s">
        <v>293</v>
      </c>
      <c r="C6" s="3" t="s">
        <v>122</v>
      </c>
      <c r="D6" s="21">
        <v>0.014</v>
      </c>
      <c r="E6" s="3" t="s">
        <v>43</v>
      </c>
      <c r="F6" s="23" t="s">
        <v>310</v>
      </c>
      <c r="G6" s="12">
        <f>环境影响因子查询表!$G$13</f>
        <v>3.54873238468366</v>
      </c>
      <c r="H6" s="12">
        <f t="shared" si="0"/>
        <v>0.0496822533855712</v>
      </c>
    </row>
    <row r="7" ht="14" customHeight="1" spans="1:8">
      <c r="A7" s="3">
        <v>6</v>
      </c>
      <c r="B7" s="20" t="s">
        <v>293</v>
      </c>
      <c r="C7" s="3" t="s">
        <v>62</v>
      </c>
      <c r="D7" s="21">
        <v>0.006</v>
      </c>
      <c r="E7" s="3" t="s">
        <v>43</v>
      </c>
      <c r="F7" s="22"/>
      <c r="G7" s="12">
        <f>环境影响因子查询表!$G$5</f>
        <v>3.50727784564692</v>
      </c>
      <c r="H7" s="12">
        <f t="shared" si="0"/>
        <v>0.0210436670738815</v>
      </c>
    </row>
    <row r="8" ht="14" customHeight="1" spans="1:8">
      <c r="A8" s="3">
        <v>7</v>
      </c>
      <c r="B8" s="20" t="s">
        <v>293</v>
      </c>
      <c r="C8" s="3" t="s">
        <v>311</v>
      </c>
      <c r="D8" s="21">
        <v>0.019</v>
      </c>
      <c r="E8" s="3" t="s">
        <v>43</v>
      </c>
      <c r="F8" s="22"/>
      <c r="G8" s="12">
        <f>环境影响因子查询表!$G$4</f>
        <v>1.23447101197278</v>
      </c>
      <c r="H8" s="12">
        <f t="shared" si="0"/>
        <v>0.0234549492274828</v>
      </c>
    </row>
    <row r="9" ht="14" customHeight="1" spans="1:8">
      <c r="A9" s="3">
        <v>8</v>
      </c>
      <c r="B9" s="20" t="s">
        <v>296</v>
      </c>
      <c r="C9" s="3" t="s">
        <v>297</v>
      </c>
      <c r="D9" s="21">
        <v>0.07</v>
      </c>
      <c r="E9" s="3" t="s">
        <v>72</v>
      </c>
      <c r="F9" s="23" t="s">
        <v>312</v>
      </c>
      <c r="G9" s="12">
        <f>环境影响因子查询表!$G$6</f>
        <v>0.202081253206292</v>
      </c>
      <c r="H9" s="12">
        <f t="shared" si="0"/>
        <v>0.0141456877244404</v>
      </c>
    </row>
    <row r="10" ht="14" customHeight="1" spans="1:8">
      <c r="A10" s="3">
        <v>9</v>
      </c>
      <c r="B10" s="20" t="s">
        <v>299</v>
      </c>
      <c r="C10" s="3" t="s">
        <v>313</v>
      </c>
      <c r="D10" s="21">
        <v>4.8</v>
      </c>
      <c r="E10" s="3" t="s">
        <v>81</v>
      </c>
      <c r="F10" s="22"/>
      <c r="G10" s="12">
        <f>环境影响因子查询表!$G$7</f>
        <v>0.854194150759542</v>
      </c>
      <c r="H10" s="12">
        <f t="shared" si="0"/>
        <v>4.1001319236458</v>
      </c>
    </row>
    <row r="11" ht="14" customHeight="1" spans="1:8">
      <c r="A11" s="3">
        <v>10</v>
      </c>
      <c r="B11" s="20" t="s">
        <v>299</v>
      </c>
      <c r="C11" s="3" t="s">
        <v>129</v>
      </c>
      <c r="D11" s="21">
        <v>10.5</v>
      </c>
      <c r="E11" s="3" t="s">
        <v>43</v>
      </c>
      <c r="F11" s="22"/>
      <c r="G11" s="12">
        <f>环境影响因子查询表!$G$14</f>
        <v>0.345898157969279</v>
      </c>
      <c r="H11" s="12">
        <f t="shared" si="0"/>
        <v>3.63193065867743</v>
      </c>
    </row>
    <row r="12" ht="26.4" customHeight="1" spans="1:8">
      <c r="A12" s="3">
        <v>11</v>
      </c>
      <c r="B12" s="20" t="s">
        <v>299</v>
      </c>
      <c r="C12" s="3" t="s">
        <v>136</v>
      </c>
      <c r="D12" s="21">
        <v>0.8</v>
      </c>
      <c r="E12" s="3" t="s">
        <v>140</v>
      </c>
      <c r="F12" s="22" t="s">
        <v>314</v>
      </c>
      <c r="G12" s="12">
        <f>环境影响因子查询表!$G$15</f>
        <v>2.22924275854904</v>
      </c>
      <c r="H12" s="12">
        <f t="shared" si="0"/>
        <v>1.78339420683923</v>
      </c>
    </row>
    <row r="13" ht="14" customHeight="1" spans="1:8">
      <c r="A13" s="3">
        <v>12</v>
      </c>
      <c r="B13" s="20" t="s">
        <v>177</v>
      </c>
      <c r="C13" s="3" t="s">
        <v>144</v>
      </c>
      <c r="D13" s="21">
        <v>0.14</v>
      </c>
      <c r="E13" s="3" t="s">
        <v>43</v>
      </c>
      <c r="F13" s="22"/>
      <c r="G13" s="12">
        <f>环境影响因子查询表!$G$16</f>
        <v>1.48277633958312</v>
      </c>
      <c r="H13" s="12">
        <f t="shared" si="0"/>
        <v>0.207588687541637</v>
      </c>
    </row>
    <row r="14" ht="14" customHeight="1" spans="1:8">
      <c r="A14" s="3">
        <v>13</v>
      </c>
      <c r="B14" s="20" t="s">
        <v>177</v>
      </c>
      <c r="C14" s="3" t="s">
        <v>151</v>
      </c>
      <c r="D14" s="21">
        <v>0.16</v>
      </c>
      <c r="E14" s="3" t="s">
        <v>43</v>
      </c>
      <c r="F14" s="22"/>
      <c r="G14" s="12">
        <f>环境影响因子查询表!$G$17</f>
        <v>1.57257312536736</v>
      </c>
      <c r="H14" s="12">
        <f t="shared" si="0"/>
        <v>0.251611700058778</v>
      </c>
    </row>
    <row r="15" ht="14" customHeight="1" spans="1:8">
      <c r="A15" s="3">
        <v>14</v>
      </c>
      <c r="B15" s="20" t="s">
        <v>177</v>
      </c>
      <c r="C15" s="3" t="s">
        <v>158</v>
      </c>
      <c r="D15" s="21">
        <v>0.014</v>
      </c>
      <c r="E15" s="3" t="s">
        <v>43</v>
      </c>
      <c r="F15" s="22"/>
      <c r="G15" s="12">
        <f>环境影响因子查询表!$G$18</f>
        <v>2.63949714899613</v>
      </c>
      <c r="H15" s="12">
        <f t="shared" si="0"/>
        <v>0.0369529600859458</v>
      </c>
    </row>
    <row r="16" ht="14" customHeight="1" spans="1:8">
      <c r="A16" s="3">
        <v>15</v>
      </c>
      <c r="B16" s="20" t="s">
        <v>302</v>
      </c>
      <c r="C16" s="3" t="s">
        <v>315</v>
      </c>
      <c r="D16" s="21">
        <v>0.145</v>
      </c>
      <c r="E16" s="3" t="s">
        <v>43</v>
      </c>
      <c r="F16" s="23" t="s">
        <v>316</v>
      </c>
      <c r="G16" s="12">
        <f>环境影响因子查询表!$G$9</f>
        <v>0</v>
      </c>
      <c r="H16" s="12">
        <f t="shared" si="0"/>
        <v>0</v>
      </c>
    </row>
    <row r="17" ht="14" customHeight="1" spans="1:8">
      <c r="A17" s="3">
        <v>16</v>
      </c>
      <c r="B17" s="20" t="s">
        <v>302</v>
      </c>
      <c r="C17" s="3" t="s">
        <v>317</v>
      </c>
      <c r="D17" s="21">
        <v>0.004</v>
      </c>
      <c r="E17" s="3" t="s">
        <v>43</v>
      </c>
      <c r="F17" s="22"/>
      <c r="G17" s="12">
        <f>环境影响因子查询表!$G$19</f>
        <v>0.518992531466736</v>
      </c>
      <c r="H17" s="12">
        <f t="shared" si="0"/>
        <v>0.00207597012586694</v>
      </c>
    </row>
    <row r="18" spans="1:8">
      <c r="A18" s="25"/>
      <c r="B18" s="25"/>
      <c r="C18" s="25"/>
      <c r="D18" s="26"/>
      <c r="E18" s="25"/>
      <c r="F18" s="25"/>
      <c r="G18" s="7"/>
      <c r="H18" s="7"/>
    </row>
    <row r="19" spans="1:8">
      <c r="A19" s="27" t="s">
        <v>318</v>
      </c>
      <c r="B19" s="27"/>
      <c r="C19" s="27"/>
      <c r="D19" s="28"/>
      <c r="E19" s="27"/>
      <c r="F19" s="27"/>
      <c r="G19" s="29"/>
      <c r="H19" s="29">
        <f>SUM(H2:H17)</f>
        <v>18.065316967693</v>
      </c>
    </row>
    <row r="20" spans="1:8">
      <c r="G20" s="7"/>
      <c r="H20" s="7"/>
    </row>
    <row r="21" spans="1:8">
      <c r="G21" s="7"/>
      <c r="H21" s="7"/>
    </row>
    <row r="22" ht="14" customHeight="1" spans="1:8">
      <c r="F22" s="5"/>
      <c r="G22" s="7"/>
      <c r="H22" s="7"/>
    </row>
    <row r="23" spans="1:8">
      <c r="G23" s="7"/>
      <c r="H23" s="7"/>
    </row>
    <row r="24" spans="1:8">
      <c r="G24" s="7"/>
      <c r="H24" s="7"/>
    </row>
    <row r="25" spans="1:8">
      <c r="G25" s="7"/>
      <c r="H25" s="7"/>
    </row>
    <row r="26" ht="14" customHeight="1" spans="1:8">
      <c r="F26" s="5"/>
      <c r="G26" s="7"/>
      <c r="H26" s="7"/>
    </row>
    <row r="27" ht="14" customHeight="1" spans="1:8">
      <c r="F27" s="5"/>
      <c r="G27" s="7"/>
      <c r="H27" s="7"/>
    </row>
    <row r="28" ht="14" customHeight="1" spans="1:8">
      <c r="F28" s="5"/>
      <c r="G28" s="7"/>
      <c r="H28" s="7"/>
    </row>
    <row r="29" ht="14" customHeight="1" spans="1:8">
      <c r="F29" s="5"/>
      <c r="G29" s="7"/>
      <c r="H29" s="7"/>
    </row>
    <row r="30" ht="14" customHeight="1" spans="1:8">
      <c r="F30" s="5"/>
      <c r="G30" s="7"/>
      <c r="H30" s="7"/>
    </row>
  </sheetData>
  <mergeCells count="1">
    <mergeCell ref="A19:E1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"/>
    </sheetView>
  </sheetViews>
  <sheetFormatPr defaultColWidth="9" defaultRowHeight="16.8" outlineLevelCol="7"/>
  <cols>
    <col min="1" max="1" width="8" customWidth="1"/>
    <col min="2" max="2" width="18" customWidth="1"/>
    <col min="3" max="3" width="28" customWidth="1"/>
    <col min="4" max="4" width="12" customWidth="1"/>
    <col min="5" max="5" width="10" customWidth="1"/>
    <col min="6" max="6" width="58" customWidth="1"/>
    <col min="7" max="8" width="22" customWidth="1"/>
  </cols>
  <sheetData>
    <row r="1" ht="36" customHeight="1" spans="1:8">
      <c r="A1" s="1" t="s">
        <v>286</v>
      </c>
      <c r="B1" s="1" t="s">
        <v>306</v>
      </c>
      <c r="C1" s="1" t="s">
        <v>288</v>
      </c>
      <c r="D1" s="1" t="s">
        <v>289</v>
      </c>
      <c r="E1" s="1" t="s">
        <v>13</v>
      </c>
      <c r="F1" s="1" t="s">
        <v>290</v>
      </c>
      <c r="G1" s="19" t="s">
        <v>291</v>
      </c>
      <c r="H1" s="19" t="s">
        <v>292</v>
      </c>
    </row>
    <row r="2" ht="14" customHeight="1" spans="1:8">
      <c r="A2" s="3">
        <v>1</v>
      </c>
      <c r="B2" s="20" t="s">
        <v>293</v>
      </c>
      <c r="C2" s="3" t="s">
        <v>319</v>
      </c>
      <c r="D2" s="21">
        <v>0.235</v>
      </c>
      <c r="E2" s="3" t="s">
        <v>43</v>
      </c>
      <c r="F2" s="22" t="s">
        <v>320</v>
      </c>
      <c r="G2" s="12">
        <f>T2_面料!H19</f>
        <v>18.065316967693</v>
      </c>
      <c r="H2" s="12">
        <f t="shared" ref="H2:H22" si="0">D2*G2</f>
        <v>4.24534948740785</v>
      </c>
    </row>
    <row r="3" ht="14" customHeight="1" spans="1:8">
      <c r="A3" s="3">
        <v>2</v>
      </c>
      <c r="B3" s="20" t="s">
        <v>293</v>
      </c>
      <c r="C3" s="3" t="s">
        <v>321</v>
      </c>
      <c r="D3" s="21">
        <v>0.01</v>
      </c>
      <c r="E3" s="3" t="s">
        <v>43</v>
      </c>
      <c r="F3" s="22" t="s">
        <v>322</v>
      </c>
      <c r="G3" s="12">
        <f>T2_面料!H19</f>
        <v>18.065316967693</v>
      </c>
      <c r="H3" s="12">
        <f t="shared" si="0"/>
        <v>0.18065316967693</v>
      </c>
    </row>
    <row r="4" ht="26.4" customHeight="1" spans="1:8">
      <c r="A4" s="3">
        <v>3</v>
      </c>
      <c r="B4" s="20" t="s">
        <v>293</v>
      </c>
      <c r="C4" s="3" t="s">
        <v>323</v>
      </c>
      <c r="D4" s="21">
        <v>0.027</v>
      </c>
      <c r="E4" s="3" t="s">
        <v>43</v>
      </c>
      <c r="F4" s="22" t="s">
        <v>324</v>
      </c>
      <c r="G4" s="12">
        <f>T3_纱线!H11</f>
        <v>6.78025484145223</v>
      </c>
      <c r="H4" s="12">
        <f t="shared" si="0"/>
        <v>0.18306688071921</v>
      </c>
    </row>
    <row r="5" ht="14" customHeight="1" spans="1:8">
      <c r="A5" s="3">
        <v>4</v>
      </c>
      <c r="B5" s="20" t="s">
        <v>293</v>
      </c>
      <c r="C5" s="3" t="s">
        <v>228</v>
      </c>
      <c r="D5" s="21">
        <v>0.038</v>
      </c>
      <c r="E5" s="3" t="s">
        <v>43</v>
      </c>
      <c r="F5" s="22" t="s">
        <v>325</v>
      </c>
      <c r="G5" s="12">
        <f>环境影响因子查询表!$G$29</f>
        <v>6.16881075775421</v>
      </c>
      <c r="H5" s="12">
        <f t="shared" si="0"/>
        <v>0.23441480879466</v>
      </c>
    </row>
    <row r="6" ht="14" customHeight="1" spans="1:8">
      <c r="A6" s="3">
        <v>5</v>
      </c>
      <c r="B6" s="20" t="s">
        <v>293</v>
      </c>
      <c r="C6" s="3" t="s">
        <v>62</v>
      </c>
      <c r="D6" s="21">
        <v>0.007</v>
      </c>
      <c r="E6" s="3" t="s">
        <v>43</v>
      </c>
      <c r="F6" s="22"/>
      <c r="G6" s="12">
        <f>环境影响因子查询表!$G$5</f>
        <v>3.50727784564692</v>
      </c>
      <c r="H6" s="12">
        <f t="shared" si="0"/>
        <v>0.0245509449195284</v>
      </c>
    </row>
    <row r="7" ht="14" customHeight="1" spans="1:8">
      <c r="A7" s="3">
        <v>6</v>
      </c>
      <c r="B7" s="20" t="s">
        <v>293</v>
      </c>
      <c r="C7" s="3" t="s">
        <v>326</v>
      </c>
      <c r="D7" s="21">
        <v>0.032</v>
      </c>
      <c r="E7" s="3" t="s">
        <v>43</v>
      </c>
      <c r="F7" s="22"/>
      <c r="G7" s="12">
        <f>环境影响因子查询表!$G$4</f>
        <v>1.23447101197278</v>
      </c>
      <c r="H7" s="12">
        <f t="shared" si="0"/>
        <v>0.0395030723831289</v>
      </c>
    </row>
    <row r="8" ht="14" customHeight="1" spans="1:8">
      <c r="A8" s="3">
        <v>7</v>
      </c>
      <c r="B8" s="20" t="s">
        <v>296</v>
      </c>
      <c r="C8" s="3" t="s">
        <v>297</v>
      </c>
      <c r="D8" s="21">
        <v>0.011</v>
      </c>
      <c r="E8" s="3" t="s">
        <v>72</v>
      </c>
      <c r="F8" s="22" t="s">
        <v>327</v>
      </c>
      <c r="G8" s="12">
        <f>环境影响因子查询表!$G$6</f>
        <v>0.202081253206292</v>
      </c>
      <c r="H8" s="12">
        <f t="shared" si="0"/>
        <v>0.00222289378526921</v>
      </c>
    </row>
    <row r="9" ht="14" customHeight="1" spans="1:8">
      <c r="A9" s="3">
        <v>8</v>
      </c>
      <c r="B9" s="20" t="s">
        <v>299</v>
      </c>
      <c r="C9" s="3" t="s">
        <v>328</v>
      </c>
      <c r="D9" s="21">
        <v>0.29</v>
      </c>
      <c r="E9" s="3" t="s">
        <v>81</v>
      </c>
      <c r="F9" s="22" t="s">
        <v>329</v>
      </c>
      <c r="G9" s="12">
        <f>环境影响因子查询表!$G$7</f>
        <v>0.854194150759542</v>
      </c>
      <c r="H9" s="12">
        <f t="shared" si="0"/>
        <v>0.247716303720267</v>
      </c>
    </row>
    <row r="10" ht="14" customHeight="1" spans="1:8">
      <c r="A10" s="3">
        <v>9</v>
      </c>
      <c r="B10" s="20" t="s">
        <v>177</v>
      </c>
      <c r="C10" s="3" t="s">
        <v>330</v>
      </c>
      <c r="D10" s="21">
        <v>16</v>
      </c>
      <c r="E10" s="3" t="s">
        <v>43</v>
      </c>
      <c r="F10" s="22"/>
      <c r="G10" s="12">
        <f>环境影响因子查询表!$G$21</f>
        <v>0.000467570237649476</v>
      </c>
      <c r="H10" s="12">
        <f t="shared" si="0"/>
        <v>0.00748112380239161</v>
      </c>
    </row>
    <row r="11" ht="14" customHeight="1" spans="1:8">
      <c r="A11" s="3">
        <v>10</v>
      </c>
      <c r="B11" s="20" t="s">
        <v>302</v>
      </c>
      <c r="C11" s="3" t="s">
        <v>331</v>
      </c>
      <c r="D11" s="21">
        <v>0.055</v>
      </c>
      <c r="E11" s="3" t="s">
        <v>43</v>
      </c>
      <c r="F11" s="22"/>
      <c r="G11" s="12">
        <f>环境影响因子查询表!$G$9</f>
        <v>0</v>
      </c>
      <c r="H11" s="12">
        <f t="shared" si="0"/>
        <v>0</v>
      </c>
    </row>
    <row r="12" ht="14" customHeight="1" spans="1:8">
      <c r="A12" s="3">
        <v>11</v>
      </c>
      <c r="B12" s="20" t="s">
        <v>302</v>
      </c>
      <c r="C12" s="3" t="s">
        <v>332</v>
      </c>
      <c r="D12" s="21">
        <v>0.003</v>
      </c>
      <c r="E12" s="3" t="s">
        <v>43</v>
      </c>
      <c r="F12" s="22" t="s">
        <v>333</v>
      </c>
      <c r="G12" s="12">
        <f>环境影响因子查询表!$G$27</f>
        <v>3.09889623395921</v>
      </c>
      <c r="H12" s="12">
        <f t="shared" si="0"/>
        <v>0.00929668870187765</v>
      </c>
    </row>
    <row r="13" ht="14" customHeight="1" spans="1:8">
      <c r="A13" s="3">
        <v>12</v>
      </c>
      <c r="B13" s="20" t="s">
        <v>302</v>
      </c>
      <c r="C13" s="3" t="s">
        <v>334</v>
      </c>
      <c r="D13" s="21">
        <v>0.009</v>
      </c>
      <c r="E13" s="3" t="s">
        <v>43</v>
      </c>
      <c r="F13" s="22" t="s">
        <v>335</v>
      </c>
      <c r="G13" s="12">
        <f>环境影响因子查询表!$G$28</f>
        <v>0</v>
      </c>
      <c r="H13" s="12">
        <f t="shared" si="0"/>
        <v>0</v>
      </c>
    </row>
    <row r="14" ht="14" customHeight="1" spans="1:8">
      <c r="A14" s="3">
        <v>13</v>
      </c>
      <c r="B14" s="20" t="s">
        <v>302</v>
      </c>
      <c r="C14" s="3" t="s">
        <v>336</v>
      </c>
      <c r="D14" s="21">
        <v>0.006</v>
      </c>
      <c r="E14" s="3" t="s">
        <v>72</v>
      </c>
      <c r="F14" s="22"/>
      <c r="G14" s="12">
        <f>环境影响因子查询表!$G$6</f>
        <v>0.202081253206292</v>
      </c>
      <c r="H14" s="12">
        <f t="shared" si="0"/>
        <v>0.00121248751923775</v>
      </c>
    </row>
    <row r="15" ht="14" customHeight="1" spans="1:8">
      <c r="A15" s="3">
        <v>14</v>
      </c>
      <c r="B15" s="20" t="s">
        <v>337</v>
      </c>
      <c r="C15" s="3" t="s">
        <v>338</v>
      </c>
      <c r="D15" s="21">
        <v>0.6</v>
      </c>
      <c r="E15" s="3" t="s">
        <v>72</v>
      </c>
      <c r="F15" s="22" t="s">
        <v>339</v>
      </c>
      <c r="G15" s="12">
        <f>环境影响因子查询表!$G$6</f>
        <v>0.202081253206292</v>
      </c>
      <c r="H15" s="12">
        <f t="shared" si="0"/>
        <v>0.121248751923775</v>
      </c>
    </row>
    <row r="16" ht="14" customHeight="1" spans="1:8">
      <c r="A16" s="3">
        <v>15</v>
      </c>
      <c r="B16" s="20" t="s">
        <v>340</v>
      </c>
      <c r="C16" s="3" t="s">
        <v>341</v>
      </c>
      <c r="D16" s="21">
        <f>环境影响因子查询表!$B$46</f>
        <v>0.1</v>
      </c>
      <c r="E16" s="3" t="s">
        <v>81</v>
      </c>
      <c r="F16" s="23" t="s">
        <v>342</v>
      </c>
      <c r="G16" s="12">
        <f>环境影响因子查询表!$G$25</f>
        <v>0.84737293636601</v>
      </c>
      <c r="H16" s="12">
        <f t="shared" si="0"/>
        <v>0.084737293636601</v>
      </c>
    </row>
    <row r="17" ht="14" customHeight="1" spans="1:8">
      <c r="A17" s="3">
        <v>16</v>
      </c>
      <c r="B17" s="20" t="s">
        <v>343</v>
      </c>
      <c r="C17" s="3" t="s">
        <v>344</v>
      </c>
      <c r="D17" s="21">
        <f>环境影响因子查询表!$B$35*$D$29/环境影响因子查询表!$B$36*环境影响因子查询表!$B$38</f>
        <v>5</v>
      </c>
      <c r="E17" s="3" t="s">
        <v>81</v>
      </c>
      <c r="F17" s="23" t="s">
        <v>345</v>
      </c>
      <c r="G17" s="12">
        <f>环境影响因子查询表!$G$25</f>
        <v>0.84737293636601</v>
      </c>
      <c r="H17" s="12">
        <f t="shared" si="0"/>
        <v>4.23686468183005</v>
      </c>
    </row>
    <row r="18" ht="14" customHeight="1" spans="1:8">
      <c r="A18" s="3">
        <v>17</v>
      </c>
      <c r="B18" s="20" t="s">
        <v>343</v>
      </c>
      <c r="C18" s="3" t="s">
        <v>346</v>
      </c>
      <c r="D18" s="21">
        <f>环境影响因子查询表!$B$35*$D$29/环境影响因子查询表!$B$36*环境影响因子查询表!$B$37</f>
        <v>570</v>
      </c>
      <c r="E18" s="3" t="s">
        <v>43</v>
      </c>
      <c r="F18" s="23" t="s">
        <v>345</v>
      </c>
      <c r="G18" s="12">
        <f>环境影响因子查询表!$G$20</f>
        <v>0.00119976287089776</v>
      </c>
      <c r="H18" s="12">
        <f t="shared" si="0"/>
        <v>0.683864836411723</v>
      </c>
    </row>
    <row r="19" ht="14" customHeight="1" spans="1:8">
      <c r="A19" s="3">
        <v>18</v>
      </c>
      <c r="B19" s="20" t="s">
        <v>343</v>
      </c>
      <c r="C19" s="3" t="s">
        <v>347</v>
      </c>
      <c r="D19" s="21">
        <f>环境影响因子查询表!$B$35*$D$29/环境影响因子查询表!$B$36*环境影响因子查询表!$B$39</f>
        <v>0.5</v>
      </c>
      <c r="E19" s="3" t="s">
        <v>43</v>
      </c>
      <c r="F19" s="23" t="s">
        <v>345</v>
      </c>
      <c r="G19" s="12">
        <f>环境影响因子查询表!$G$22</f>
        <v>3.9045679038398</v>
      </c>
      <c r="H19" s="12">
        <f t="shared" si="0"/>
        <v>1.9522839519199</v>
      </c>
    </row>
    <row r="20" ht="14" customHeight="1" spans="1:8">
      <c r="A20" s="3">
        <v>19</v>
      </c>
      <c r="B20" s="20" t="s">
        <v>343</v>
      </c>
      <c r="C20" s="3" t="s">
        <v>177</v>
      </c>
      <c r="D20" s="21">
        <f>D18</f>
        <v>570</v>
      </c>
      <c r="E20" s="3" t="s">
        <v>43</v>
      </c>
      <c r="F20" s="23" t="s">
        <v>348</v>
      </c>
      <c r="G20" s="12">
        <f>环境影响因子查询表!$G$21</f>
        <v>0.000467570237649476</v>
      </c>
      <c r="H20" s="12">
        <f t="shared" si="0"/>
        <v>0.266515035460201</v>
      </c>
    </row>
    <row r="21" ht="14" customHeight="1" spans="1:8">
      <c r="A21" s="3">
        <v>20</v>
      </c>
      <c r="B21" s="20" t="s">
        <v>349</v>
      </c>
      <c r="C21" s="3" t="s">
        <v>350</v>
      </c>
      <c r="D21" s="24">
        <f>$D$29*环境影响因子查询表!$B$40</f>
        <v>0.03825</v>
      </c>
      <c r="E21" s="3" t="s">
        <v>43</v>
      </c>
      <c r="F21" s="22" t="s">
        <v>351</v>
      </c>
      <c r="G21" s="12">
        <f>环境影响因子查询表!$G$9</f>
        <v>0</v>
      </c>
      <c r="H21" s="12">
        <f t="shared" si="0"/>
        <v>0</v>
      </c>
    </row>
    <row r="22" ht="14" customHeight="1" spans="1:8">
      <c r="A22" s="3">
        <v>21</v>
      </c>
      <c r="B22" s="20" t="s">
        <v>349</v>
      </c>
      <c r="C22" s="3" t="s">
        <v>352</v>
      </c>
      <c r="D22" s="24">
        <f>$D$29*(1-环境影响因子查询表!$B$40)</f>
        <v>0.21675</v>
      </c>
      <c r="E22" s="3" t="s">
        <v>43</v>
      </c>
      <c r="F22" s="22" t="s">
        <v>353</v>
      </c>
      <c r="G22" s="12">
        <f>环境影响因子查询表!$G$26</f>
        <v>2.06639111503867</v>
      </c>
      <c r="H22" s="12">
        <f t="shared" si="0"/>
        <v>0.447890274184632</v>
      </c>
    </row>
    <row r="23" spans="1:8">
      <c r="A23" s="25"/>
      <c r="B23" s="25"/>
      <c r="C23" s="25"/>
      <c r="D23" s="26"/>
      <c r="E23" s="25"/>
      <c r="F23" s="25"/>
      <c r="G23" s="7"/>
      <c r="H23" s="7"/>
    </row>
    <row r="24" spans="1:8">
      <c r="A24" s="27" t="s">
        <v>354</v>
      </c>
      <c r="B24" s="27"/>
      <c r="C24" s="27"/>
      <c r="D24" s="28"/>
      <c r="E24" s="27"/>
      <c r="F24" s="27"/>
      <c r="G24" s="29"/>
      <c r="H24" s="29">
        <f>SUM(H2:H22,H26:H27)</f>
        <v>12.9812682717331</v>
      </c>
    </row>
    <row r="25" spans="1:8">
      <c r="G25" s="7"/>
      <c r="H25" s="7"/>
    </row>
    <row r="26" ht="14" customHeight="1" spans="1:8">
      <c r="C26" t="s">
        <v>355</v>
      </c>
      <c r="D26">
        <f>D6-D12</f>
        <v>0.004</v>
      </c>
      <c r="E26" t="s">
        <v>43</v>
      </c>
      <c r="F26" s="5" t="s">
        <v>356</v>
      </c>
      <c r="G26" s="7">
        <f>环境影响因子查询表!$G$27</f>
        <v>3.09889623395921</v>
      </c>
      <c r="H26" s="7">
        <f>D26*G26</f>
        <v>0.0123955849358369</v>
      </c>
    </row>
    <row r="27" ht="14" customHeight="1" spans="1:8">
      <c r="C27" t="s">
        <v>357</v>
      </c>
      <c r="D27">
        <f>D7-D13</f>
        <v>0.023</v>
      </c>
      <c r="E27" t="s">
        <v>43</v>
      </c>
      <c r="F27" s="5" t="s">
        <v>358</v>
      </c>
      <c r="G27" s="7">
        <f>环境影响因子查询表!$G$28</f>
        <v>0</v>
      </c>
      <c r="H27" s="7">
        <f>D27*G27</f>
        <v>0</v>
      </c>
    </row>
    <row r="28" ht="14" customHeight="1" spans="1:8">
      <c r="F28" s="5"/>
      <c r="G28" s="7"/>
      <c r="H28" s="7"/>
    </row>
    <row r="29" ht="26.4" customHeight="1" spans="1:8">
      <c r="C29" t="s">
        <v>359</v>
      </c>
      <c r="D29">
        <f>SUM(D2:D5)-D11</f>
        <v>0.255</v>
      </c>
      <c r="E29" t="s">
        <v>43</v>
      </c>
      <c r="F29" s="5" t="s">
        <v>360</v>
      </c>
      <c r="G29" s="7"/>
      <c r="H29" s="7"/>
    </row>
    <row r="30" ht="26.4" customHeight="1" spans="1:8">
      <c r="C30" t="s">
        <v>361</v>
      </c>
      <c r="D30">
        <v>0.31</v>
      </c>
      <c r="E30" t="s">
        <v>43</v>
      </c>
      <c r="F30" s="5" t="s">
        <v>362</v>
      </c>
      <c r="G30" s="7"/>
      <c r="H30" s="7"/>
    </row>
  </sheetData>
  <mergeCells count="1">
    <mergeCell ref="A24:E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A8" workbookViewId="0">
      <selection activeCell="A8" sqref="A8:E25"/>
    </sheetView>
  </sheetViews>
  <sheetFormatPr defaultColWidth="9" defaultRowHeight="16.8" outlineLevelCol="4"/>
  <cols>
    <col min="1" max="1" width="46" customWidth="1"/>
    <col min="2" max="2" width="18" customWidth="1"/>
    <col min="3" max="3" width="23" customWidth="1"/>
    <col min="4" max="4" width="24" customWidth="1"/>
    <col min="5" max="5" width="18" customWidth="1"/>
  </cols>
  <sheetData>
    <row r="1" ht="17" spans="1:5">
      <c r="A1" s="1" t="s">
        <v>363</v>
      </c>
      <c r="B1" s="2" t="s">
        <v>292</v>
      </c>
    </row>
    <row r="2" ht="32" customHeight="1" spans="1:5">
      <c r="A2" s="3" t="s">
        <v>364</v>
      </c>
      <c r="B2" s="4">
        <f>T3_纱线!H11</f>
        <v>6.78025484145223</v>
      </c>
      <c r="C2" s="5" t="s">
        <v>365</v>
      </c>
      <c r="D2" s="5"/>
      <c r="E2" s="5"/>
    </row>
    <row r="3" ht="32" customHeight="1" spans="1:5">
      <c r="A3" s="3" t="s">
        <v>366</v>
      </c>
      <c r="B3" s="4">
        <f>T2_面料!H19</f>
        <v>18.065316967693</v>
      </c>
      <c r="C3" s="5" t="s">
        <v>367</v>
      </c>
      <c r="D3" s="5"/>
      <c r="E3" s="5"/>
    </row>
    <row r="4" ht="32" customHeight="1" spans="1:5">
      <c r="A4" s="3" t="s">
        <v>368</v>
      </c>
      <c r="B4" s="6">
        <f>T1_成衣!H24</f>
        <v>12.9812682717331</v>
      </c>
      <c r="C4" s="5" t="str">
        <f>"1件；净重假设"&amp;TEXT(T1_成衣!D29,"0.000")&amp;"kg；洗涤"&amp;TEXT(环境影响因子查询表!$B$35,"0")&amp;"次"</f>
        <v>1件；净重假设0.255kg；洗涤100次</v>
      </c>
      <c r="D4" s="5"/>
      <c r="E4" s="5"/>
    </row>
    <row r="5" spans="1:5">
      <c r="A5" t="s">
        <v>369</v>
      </c>
      <c r="B5" s="7">
        <f>SUM(B29:B31)</f>
        <v>5.17546786143035</v>
      </c>
      <c r="C5" t="s">
        <v>370</v>
      </c>
    </row>
    <row r="7" ht="17.6" spans="1:5">
      <c r="A7" s="8" t="s">
        <v>371</v>
      </c>
    </row>
    <row r="8" spans="1:5">
      <c r="A8" s="9" t="str">
        <f>"本情景以1件运动上衣A为功能单位，全生命周期GWP为 "&amp;TEXT(B4,"0.00")&amp;" kg CO2e/件。阶段分解中，"&amp;INDEX(A29:A35,MATCH(MAX(B29:B35),B29:B35,0))&amp;"贡献最高，占 "&amp;TEXT(MAX(C29:C35),"0.0%")&amp;"。主面料的纱线和面料加工合计为 "&amp;TEXT(SUM(B29:B30),"0.00")&amp;" kg CO2e；其他外购面料和缝纫线的上游影响归入T1其他材料，未与主面料阶段重复相加。"&amp;CHAR(10)&amp;CHAR(10)&amp;"生产端重点是电力、蒸汽以及聚酯原料，使用端重点是洗涤用电和清洁剂。减少非必要洗涤、提高洗衣装载率、自然晾干，以及降低生产电耗和蒸汽需求，均可能减排。"&amp;CHAR(10)&amp;CHAR(10)&amp;"不确定性1：使用假设为100次混洗，每桶2.55kg、57kg水、0.5kWh电和0.05kg清洁剂，按质量分摊。若洗涤50次或150次，其余参数不变，总量分别为 "&amp;TEXT(C41,"0.00")&amp;" 与 "&amp;TEXT(C43,"0.00")&amp;" kg CO2e。所以，作为单因素的情景，这里不能视为统计置信区间。"&amp;CHAR(10)&amp;CHAR(10)&amp;"不确定性2：再生纤维采用浙江再生PET粒料加加工电力的组合代理，收率95%、电耗1.5kWh/kg；但是没有掌握具体纺丝技术和辅料。电耗0.75至3kWh/kg时，总量为 "&amp;TEXT(B48,"0.00")&amp;" 至 "&amp;TEXT(B50,"0.00")&amp;" kg CO2e。"&amp;CHAR(10)&amp;CHAR(10)&amp;"不确定性3：染料、助剂、清洁剂及部分辅料使用类别代理，RoW/GLO数据不一定代表中国的实际供应链。NaOH与NaClO基准按有效物质质量，若原数据是商品溶液则会高估用量。生产用水量未给、无法另外估算；T2污水直接排放和部分设施缺数据，可能低估数据。材料改用生产过程并另计模板运输，保留了背景上游物流。"&amp;CHAR(10)&amp;CHAR(10)&amp;"质量口径假设：把0.310kg材料量视为含损耗毛投入，减少0.055kg边角料，净重0.255kg，报废回收0.03825kg、焚烧0.21675kg。该口径没有进行实测核实。保留原模板0.310kg的名义质量、仅调整洗涤和报废时，总量为 "&amp;TEXT(C55,"0.00")&amp;" kg CO2e；生产清单保持不变。回收按cut-off移交，不能保证避免原生料可信，计算结果上零负担，但不代表着现实回收零排放。"</f>
        <v>本情景以1件运动上衣A为功能单位，全生命周期GWP为 12.98 kg CO2e/件。阶段分解中，使用维护贡献最高，占 55.0%。主面料的纱线和面料加工合计为 4.25 kg CO2e；其他外购面料和缝纫线的上游影响归入T1其他材料，未与主面料阶段重复相加。
生产端重点是电力、蒸汽以及聚酯原料，使用端重点是洗涤用电和清洁剂。减少非必要洗涤、提高洗衣装载率、自然晾干，以及降低生产电耗和蒸汽需求，均可能减排。
不确定性1：使用假设为100次混洗，每桶2.55kg、57kg水、0.5kWh电和0.05kg清洁剂，按质量分摊。若洗涤50次或150次，其余参数不变，总量分别为 9.41 与 16.55 kg CO2e。所以，作为单因素的情景，这里不能视为统计置信区间。
不确定性2：再生纤维采用浙江再生PET粒料加加工电力的组合代理，收率95%、电耗1.5kWh/kg；但是没有掌握具体纺丝技术和辅料。电耗0.75至3kWh/kg时，总量为 12.84 至 13.27 kg CO2e。
不确定性3：染料、助剂、清洁剂及部分辅料使用类别代理，RoW/GLO数据不一定代表中国的实际供应链。NaOH与NaClO基准按有效物质质量，若原数据是商品溶液则会高估用量。生产用水量未给、无法另外估算；T2污水直接排放和部分设施缺数据，可能低估数据。材料改用生产过程并另计模板运输，保留了背景上游物流。
质量口径假设：把0.310kg材料量视为含损耗毛投入，减少0.055kg边角料，净重0.255kg，报废回收0.03825kg、焚烧0.21675kg。该口径没有进行实测核实。保留原模板0.310kg的名义质量、仅调整洗涤和报废时，总量为 14.62 kg CO2e；生产清单保持不变。回收按cut-off移交，不能保证避免原生料可信，计算结果上零负担，但不代表着现实回收零排放。</v>
      </c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8" ht="25" customHeight="1" spans="1:5">
      <c r="A28" s="10" t="s">
        <v>372</v>
      </c>
      <c r="B28" s="10" t="s">
        <v>373</v>
      </c>
      <c r="C28" s="10" t="s">
        <v>374</v>
      </c>
      <c r="D28" s="11"/>
    </row>
    <row r="29" ht="25" customHeight="1" spans="1:5">
      <c r="A29" s="11" t="s">
        <v>375</v>
      </c>
      <c r="B29" s="12">
        <f>T3_纱线!H11*T2_面料!D2*T1_成衣!D2</f>
        <v>1.72082867876058</v>
      </c>
      <c r="C29" s="13">
        <f t="shared" ref="C29:C35" si="0">B29/$B$4</f>
        <v>0.132562446344916</v>
      </c>
      <c r="D29" s="11"/>
    </row>
    <row r="30" ht="25" customHeight="1" spans="1:5">
      <c r="A30" s="11" t="s">
        <v>376</v>
      </c>
      <c r="B30" s="12">
        <f>(T2_面料!H19-T2_面料!H2)*T1_成衣!D2</f>
        <v>2.52452080864728</v>
      </c>
      <c r="C30" s="13">
        <f t="shared" si="0"/>
        <v>0.194474126549288</v>
      </c>
      <c r="D30" s="11"/>
    </row>
    <row r="31" ht="25" customHeight="1" spans="1:5">
      <c r="A31" s="11" t="s">
        <v>377</v>
      </c>
      <c r="B31" s="12">
        <f>SUM(T1_成衣!H3:H14)</f>
        <v>0.930118374022501</v>
      </c>
      <c r="C31" s="13">
        <f t="shared" si="0"/>
        <v>0.0716508090390404</v>
      </c>
      <c r="D31" s="11"/>
    </row>
    <row r="32" ht="25" customHeight="1" spans="1:5">
      <c r="A32" s="11" t="s">
        <v>337</v>
      </c>
      <c r="B32" s="12">
        <f>T1_成衣!H15</f>
        <v>0.121248751923775</v>
      </c>
      <c r="C32" s="13">
        <f t="shared" si="0"/>
        <v>0.00934028550875852</v>
      </c>
      <c r="D32" s="11"/>
    </row>
    <row r="33" ht="25" customHeight="1" spans="1:4">
      <c r="A33" s="11" t="s">
        <v>378</v>
      </c>
      <c r="B33" s="12">
        <f>T1_成衣!H16</f>
        <v>0.084737293636601</v>
      </c>
      <c r="C33" s="13">
        <f t="shared" si="0"/>
        <v>0.00652765907481613</v>
      </c>
      <c r="D33" s="11"/>
    </row>
    <row r="34" ht="25" customHeight="1" spans="1:4">
      <c r="A34" s="11" t="s">
        <v>343</v>
      </c>
      <c r="B34" s="12">
        <f>SUM(T1_成衣!H17:H20)</f>
        <v>7.13952850562187</v>
      </c>
      <c r="C34" s="13">
        <f t="shared" si="0"/>
        <v>0.549986977864737</v>
      </c>
      <c r="D34" s="11"/>
    </row>
    <row r="35" ht="25" customHeight="1" spans="1:4">
      <c r="A35" s="11" t="s">
        <v>379</v>
      </c>
      <c r="B35" s="12">
        <f>SUM(T1_成衣!H21:H22,T1_成衣!H26:H27)</f>
        <v>0.460285859120468</v>
      </c>
      <c r="C35" s="13">
        <f t="shared" si="0"/>
        <v>0.0354576956184434</v>
      </c>
      <c r="D35" s="11"/>
    </row>
    <row r="36" ht="25" customHeight="1" spans="1:4">
      <c r="A36" s="11" t="s">
        <v>380</v>
      </c>
      <c r="B36" s="12">
        <f>SUM(B29:B35)</f>
        <v>12.9812682717331</v>
      </c>
      <c r="C36" s="13">
        <f>SUM(C29:C35)</f>
        <v>1</v>
      </c>
      <c r="D36" s="11"/>
    </row>
    <row r="37" ht="25" customHeight="1" spans="1:4">
      <c r="A37" s="11" t="s">
        <v>381</v>
      </c>
      <c r="B37" s="12">
        <f>B36-B4</f>
        <v>0</v>
      </c>
      <c r="C37" s="11"/>
      <c r="D37" s="11"/>
    </row>
    <row r="38" ht="25" customHeight="1" spans="1:4">
      <c r="A38" s="11"/>
      <c r="B38" s="11"/>
      <c r="C38" s="11"/>
      <c r="D38" s="11"/>
    </row>
    <row r="39" ht="25" customHeight="1" spans="1:4">
      <c r="A39" s="11"/>
      <c r="B39" s="11"/>
      <c r="C39" s="11"/>
      <c r="D39" s="11"/>
    </row>
    <row r="40" ht="38" customHeight="1" spans="1:4">
      <c r="A40" s="14" t="s">
        <v>382</v>
      </c>
      <c r="B40" s="14" t="s">
        <v>383</v>
      </c>
      <c r="C40" s="14" t="s">
        <v>384</v>
      </c>
      <c r="D40" s="14" t="s">
        <v>385</v>
      </c>
    </row>
    <row r="41" ht="25" customHeight="1" spans="1:4">
      <c r="A41" s="11" t="str">
        <f>IF(B41=环境影响因子查询表!$B$35,"当前基准","洗涤次数情景")</f>
        <v>洗涤次数情景</v>
      </c>
      <c r="B41" s="11">
        <v>50</v>
      </c>
      <c r="C41" s="15">
        <f>$B$4+(B41-环境影响因子查询表!$B$35)/环境影响因子查询表!$B$35*$B$34</f>
        <v>9.41150401892214</v>
      </c>
      <c r="D41" s="13">
        <f>C41/$B$4-1</f>
        <v>-0.274993488932369</v>
      </c>
    </row>
    <row r="42" ht="25" customHeight="1" spans="1:4">
      <c r="A42" s="11" t="str">
        <f>IF(B42=环境影响因子查询表!$B$35,"当前基准","洗涤次数情景")</f>
        <v>当前基准</v>
      </c>
      <c r="B42" s="11">
        <v>100</v>
      </c>
      <c r="C42" s="15">
        <f>$B$4+(B42-环境影响因子查询表!$B$35)/环境影响因子查询表!$B$35*$B$34</f>
        <v>12.9812682717331</v>
      </c>
      <c r="D42" s="13">
        <f>C42/$B$4-1</f>
        <v>0</v>
      </c>
    </row>
    <row r="43" ht="25" customHeight="1" spans="1:4">
      <c r="A43" s="11" t="str">
        <f>IF(B43=环境影响因子查询表!$B$35,"当前基准","洗涤次数情景")</f>
        <v>洗涤次数情景</v>
      </c>
      <c r="B43" s="11">
        <v>150</v>
      </c>
      <c r="C43" s="15">
        <f>$B$4+(B43-环境影响因子查询表!$B$35)/环境影响因子查询表!$B$35*$B$34</f>
        <v>16.551032524544</v>
      </c>
      <c r="D43" s="13">
        <f>C43/$B$4-1</f>
        <v>0.274993488932369</v>
      </c>
    </row>
    <row r="44" ht="25" customHeight="1" spans="1:4">
      <c r="A44" s="11"/>
      <c r="B44" s="11"/>
      <c r="C44" s="11"/>
      <c r="D44" s="11"/>
    </row>
    <row r="45" ht="25" customHeight="1" spans="1:4">
      <c r="A45" s="11"/>
      <c r="B45" s="11"/>
      <c r="C45" s="11"/>
      <c r="D45" s="11"/>
    </row>
    <row r="46" ht="25" customHeight="1" spans="1:4">
      <c r="A46" s="11" t="s">
        <v>386</v>
      </c>
      <c r="B46" s="11"/>
      <c r="C46" s="11"/>
      <c r="D46" s="11"/>
    </row>
    <row r="47" ht="38" customHeight="1" spans="1:4">
      <c r="A47" s="14" t="s">
        <v>387</v>
      </c>
      <c r="B47" s="14" t="s">
        <v>384</v>
      </c>
      <c r="C47" s="14" t="s">
        <v>385</v>
      </c>
      <c r="D47" s="14" t="s">
        <v>388</v>
      </c>
    </row>
    <row r="48" ht="25" customHeight="1" spans="1:4">
      <c r="A48" s="11">
        <v>0.75</v>
      </c>
      <c r="B48" s="15">
        <f>$B$4+(A48-环境影响因子查询表!$B$42)*环境影响因子查询表!$G$7*T3_纱线!D2*((T1_成衣!D2+T1_成衣!D3)*T2_面料!D2+T1_成衣!D4)</f>
        <v>12.8374228309393</v>
      </c>
      <c r="C48" s="13">
        <f>B48/$B$4-1</f>
        <v>-0.0110810005449916</v>
      </c>
      <c r="D48" s="11" t="s">
        <v>389</v>
      </c>
    </row>
    <row r="49" ht="25" customHeight="1" spans="1:4">
      <c r="A49" s="11">
        <v>1.5</v>
      </c>
      <c r="B49" s="15">
        <f>$B$4+(A49-环境影响因子查询表!$B$42)*环境影响因子查询表!$G$7*T3_纱线!D2*((T1_成衣!D2+T1_成衣!D3)*T2_面料!D2+T1_成衣!D4)</f>
        <v>12.9812682717331</v>
      </c>
      <c r="C49" s="13">
        <f>B49/$B$4-1</f>
        <v>0</v>
      </c>
      <c r="D49" s="11" t="s">
        <v>389</v>
      </c>
    </row>
    <row r="50" ht="25" customHeight="1" spans="1:4">
      <c r="A50" s="11">
        <v>3</v>
      </c>
      <c r="B50" s="15">
        <f>$B$4+(A50-环境影响因子查询表!$B$42)*环境影响因子查询表!$G$7*T3_纱线!D2*((T1_成衣!D2+T1_成衣!D3)*T2_面料!D2+T1_成衣!D4)</f>
        <v>13.2689591533206</v>
      </c>
      <c r="C50" s="13">
        <f>B50/$B$4-1</f>
        <v>0.0221620010899832</v>
      </c>
      <c r="D50" s="11" t="s">
        <v>389</v>
      </c>
    </row>
    <row r="52" spans="1:4">
      <c r="A52" t="s">
        <v>390</v>
      </c>
    </row>
    <row r="54" ht="38" customHeight="1" spans="1:4">
      <c r="A54" s="16" t="s">
        <v>391</v>
      </c>
      <c r="B54" s="16" t="s">
        <v>392</v>
      </c>
      <c r="C54" s="16" t="s">
        <v>384</v>
      </c>
      <c r="D54" s="16" t="s">
        <v>290</v>
      </c>
    </row>
    <row r="55" ht="42" customHeight="1" spans="1:4">
      <c r="A55" s="5" t="s">
        <v>393</v>
      </c>
      <c r="B55" s="17">
        <f>T1_成衣!D30</f>
        <v>0.31</v>
      </c>
      <c r="C55" s="18">
        <f>$B$4+(B55-T1_成衣!D29)*($B$34/T1_成衣!D29+(1-环境影响因子查询表!$B$40)*环境影响因子查询表!$G$26+环境影响因子查询表!$B$40*环境影响因子查询表!$G$9)</f>
        <v>14.6177703614953</v>
      </c>
      <c r="D55" s="5" t="s">
        <v>394</v>
      </c>
    </row>
  </sheetData>
  <mergeCells count="5">
    <mergeCell ref="C2:E2"/>
    <mergeCell ref="C3:E3"/>
    <mergeCell ref="C4:E4"/>
    <mergeCell ref="C5:E5"/>
    <mergeCell ref="A8:E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作业说明</vt:lpstr>
      <vt:lpstr>环境影响因子查询表</vt:lpstr>
      <vt:lpstr>T3_纱线</vt:lpstr>
      <vt:lpstr>T2_面料</vt:lpstr>
      <vt:lpstr>T1_成衣</vt:lpstr>
      <vt:lpstr>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郭嘉乐(2025013332)</cp:lastModifiedBy>
  <dcterms:created xsi:type="dcterms:W3CDTF">2026-10-21T19:42:11Z</dcterms:created>
  <dcterms:modified xsi:type="dcterms:W3CDTF">2026-10-21T19:45:14Z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34DAC7FCED4E7E96C7A5D86A5D07AF32_42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